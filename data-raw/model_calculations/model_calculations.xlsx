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am/Documents/GitHub/data-pack-commons/data-raw/model_calculations/"/>
    </mc:Choice>
  </mc:AlternateContent>
  <xr:revisionPtr revIDLastSave="0" documentId="13_ncr:1_{AF75D365-7A4E-B742-AD1E-69C0E0BCAE56}" xr6:coauthVersionLast="45" xr6:coauthVersionMax="45" xr10:uidLastSave="{00000000-0000-0000-0000-000000000000}"/>
  <bookViews>
    <workbookView xWindow="0" yWindow="460" windowWidth="33600" windowHeight="20540" activeTab="1" xr2:uid="{534AEB7A-72AD-754E-A1BC-F197B85E6149}"/>
  </bookViews>
  <sheets>
    <sheet name="data_required" sheetId="1" r:id="rId1"/>
    <sheet name="dimension_Item_sets" sheetId="2" r:id="rId2"/>
    <sheet name="Sheet1" sheetId="3" r:id="rId3"/>
  </sheets>
  <definedNames>
    <definedName name="_xlnm._FilterDatabase" localSheetId="0" hidden="1">data_required!$A$1:$AK$60</definedName>
    <definedName name="_xlnm._FilterDatabase" localSheetId="1" hidden="1">dimension_Item_sets!$A$1:$AF$188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73" i="2" l="1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50" i="2" l="1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26" i="2"/>
  <c r="J125" i="2"/>
  <c r="J124" i="2"/>
  <c r="J123" i="2"/>
  <c r="J132" i="2"/>
  <c r="J131" i="2"/>
  <c r="J74" i="2" l="1"/>
  <c r="J73" i="2"/>
  <c r="J72" i="2"/>
  <c r="J172" i="2" l="1"/>
  <c r="J171" i="2"/>
  <c r="J2" i="2" l="1"/>
  <c r="J168" i="2" l="1"/>
  <c r="J170" i="2" l="1"/>
  <c r="J169" i="2"/>
  <c r="J167" i="2" l="1"/>
  <c r="J166" i="2" l="1"/>
  <c r="J165" i="2"/>
  <c r="J48" i="2" l="1"/>
  <c r="J43" i="2"/>
  <c r="J25" i="2"/>
  <c r="J11" i="2" l="1"/>
  <c r="J7" i="2"/>
  <c r="J153" i="2" l="1"/>
  <c r="J154" i="2"/>
  <c r="J155" i="2"/>
  <c r="J156" i="2"/>
  <c r="J157" i="2"/>
  <c r="J158" i="2"/>
  <c r="J159" i="2"/>
  <c r="J160" i="2"/>
  <c r="J161" i="2"/>
  <c r="J162" i="2"/>
  <c r="J163" i="2"/>
  <c r="J164" i="2"/>
  <c r="J23" i="2" l="1"/>
  <c r="J151" i="2" l="1"/>
  <c r="J152" i="2"/>
  <c r="J130" i="2" l="1"/>
  <c r="J129" i="2"/>
  <c r="J128" i="2"/>
  <c r="J127" i="2"/>
  <c r="J122" i="2" l="1"/>
  <c r="J121" i="2"/>
  <c r="J120" i="2"/>
  <c r="J119" i="2"/>
  <c r="J118" i="2" l="1"/>
  <c r="J117" i="2"/>
  <c r="J116" i="2" l="1"/>
  <c r="J115" i="2"/>
  <c r="J114" i="2"/>
  <c r="J113" i="2"/>
  <c r="J112" i="2"/>
  <c r="J111" i="2"/>
  <c r="J110" i="2"/>
  <c r="J109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92" i="2" l="1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77" i="2"/>
  <c r="J76" i="2" l="1"/>
  <c r="J75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7" i="2"/>
  <c r="J46" i="2"/>
  <c r="J45" i="2"/>
  <c r="J44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4" i="2"/>
  <c r="J22" i="2"/>
  <c r="J21" i="2"/>
  <c r="J20" i="2"/>
  <c r="J19" i="2"/>
  <c r="J18" i="2"/>
  <c r="J17" i="2"/>
  <c r="J16" i="2"/>
  <c r="J15" i="2"/>
  <c r="J14" i="2"/>
  <c r="J13" i="2"/>
  <c r="J12" i="2"/>
  <c r="J10" i="2"/>
  <c r="J9" i="2"/>
  <c r="J8" i="2"/>
  <c r="J6" i="2"/>
  <c r="J5" i="2"/>
  <c r="J4" i="2"/>
  <c r="J3" i="2"/>
</calcChain>
</file>

<file path=xl/sharedStrings.xml><?xml version="1.0" encoding="utf-8"?>
<sst xmlns="http://schemas.openxmlformats.org/spreadsheetml/2006/main" count="4167" uniqueCount="802">
  <si>
    <t>PMTCT_STAT_ART</t>
  </si>
  <si>
    <t>PMTCT_STAT.D.Age/Sex.19T</t>
  </si>
  <si>
    <t>Numeric</t>
  </si>
  <si>
    <t>export</t>
  </si>
  <si>
    <t>PMTCT_STAT.N.knownPosRate</t>
  </si>
  <si>
    <t>Percent</t>
  </si>
  <si>
    <t>model</t>
  </si>
  <si>
    <t>PMTCT_STAT.N.newYield</t>
  </si>
  <si>
    <t>PMTCT_EID</t>
  </si>
  <si>
    <t>PMTCT_HEI_POS.N.2moYield</t>
  </si>
  <si>
    <t>PMTCT_HEI_POS.N.2to12moYield</t>
  </si>
  <si>
    <t>TB_STAT_ART</t>
  </si>
  <si>
    <t>TB_STAT.D.Age/Sex.19T</t>
  </si>
  <si>
    <t>TB_STAT.D.incidenceChange</t>
  </si>
  <si>
    <t>TB_STAT.N.knownStatusRate</t>
  </si>
  <si>
    <t>TB_STAT.N.newYield</t>
  </si>
  <si>
    <t>VMMC</t>
  </si>
  <si>
    <t>VMMC_CIRC.N.yield</t>
  </si>
  <si>
    <t>VMMC_CIRC.N.indeterminateRate</t>
  </si>
  <si>
    <t>TX</t>
  </si>
  <si>
    <t>TX_CURR.N.Age/Sex/HIVStatus.19T</t>
  </si>
  <si>
    <t>HTS</t>
  </si>
  <si>
    <t>HTS_TST.N.mobileModShare</t>
  </si>
  <si>
    <t>HTS_TST.N.vctModShare</t>
  </si>
  <si>
    <t>HTS_TST.N.otherModShare</t>
  </si>
  <si>
    <t>HTS_TST.N.emergencyShare</t>
  </si>
  <si>
    <t>HTS_TST.N.inpatientShare</t>
  </si>
  <si>
    <t>HTS_TST.N.malnutritionShare</t>
  </si>
  <si>
    <t>HTS_TST.N.pediatricShare</t>
  </si>
  <si>
    <t>HTS_TST.N.stiClinicShare</t>
  </si>
  <si>
    <t>HTS_TST.N.vctShare</t>
  </si>
  <si>
    <t>HTS_TST.N.otherShare</t>
  </si>
  <si>
    <t>HTS_TST_MobileMod.N.yield</t>
  </si>
  <si>
    <t>HTS_TST_VCTMod.N.yield</t>
  </si>
  <si>
    <t>HTS_TST_OtherMod.N.yield</t>
  </si>
  <si>
    <t>HTS_TST_EmergencyWard.N.yield</t>
  </si>
  <si>
    <t>HTS_TST_Inpat.N.yield</t>
  </si>
  <si>
    <t>HTS_TST_Malnutrition.N.yield</t>
  </si>
  <si>
    <t>HTS_TST_Pediatric.N.yield</t>
  </si>
  <si>
    <t>HTS_TST_STIClinic.N.yield</t>
  </si>
  <si>
    <t>HTS_TST_VCT.N.yield</t>
  </si>
  <si>
    <t>HTS_TST_OtherPITC.N.yield</t>
  </si>
  <si>
    <t>HTS_SELF.N.growth</t>
  </si>
  <si>
    <t>TB_TX_PREV</t>
  </si>
  <si>
    <t>TX_TB.D.newTBYield</t>
  </si>
  <si>
    <t>TX_TB.D.alreadyTBYield</t>
  </si>
  <si>
    <t>OVC</t>
  </si>
  <si>
    <t>OVC_SERV.N.growth</t>
  </si>
  <si>
    <t>KP</t>
  </si>
  <si>
    <t>KP_MAT.N.Sex.19T</t>
  </si>
  <si>
    <t>TX_NEW.N.KeyPop/HIVStatus.19T</t>
  </si>
  <si>
    <t>PrEP_NEW.N.KeyPopAbr.19T</t>
  </si>
  <si>
    <t>PP</t>
  </si>
  <si>
    <t>PP_PREV.N.Age/Sex.19T</t>
  </si>
  <si>
    <t>PP_PREV.N.growth</t>
  </si>
  <si>
    <t>PrEP</t>
  </si>
  <si>
    <t>PrEP_NEW.N.Age/Sex.19T</t>
  </si>
  <si>
    <t>GEND</t>
  </si>
  <si>
    <t>GEND_GBV.N.growth</t>
  </si>
  <si>
    <t>type</t>
  </si>
  <si>
    <t>full_formula</t>
  </si>
  <si>
    <t>S28D0BSZqwR</t>
  </si>
  <si>
    <t>iUHHsl342Nj</t>
  </si>
  <si>
    <t>BPY1iEUsPeW</t>
  </si>
  <si>
    <t>XQ9WrrPeUkI</t>
  </si>
  <si>
    <t>lK4k7AFMgjU</t>
  </si>
  <si>
    <t>TB_STAT.D.Age/Sex.18R</t>
  </si>
  <si>
    <t>iAab8gAxxuv</t>
  </si>
  <si>
    <t>Mmg7PNEjTWA</t>
  </si>
  <si>
    <t>XC0nrb9ZbQR</t>
  </si>
  <si>
    <t>IxtGttsMpJp</t>
  </si>
  <si>
    <t>HTS_TST.N.KeyPop/Result.19T</t>
  </si>
  <si>
    <t>nanxWNuqNeX</t>
  </si>
  <si>
    <t>x7X9kdhSVnV</t>
  </si>
  <si>
    <t>hyN4icZOpkU</t>
  </si>
  <si>
    <t>PVr1MjYZjNL</t>
  </si>
  <si>
    <t>KvGSEDwgxvU</t>
  </si>
  <si>
    <t>GEND_GBV.N.ViolenceServiceType.19T.PhysEmot</t>
  </si>
  <si>
    <t>uKfqLN0V72H</t>
  </si>
  <si>
    <t>GEND_GBV.N.ViolenceServiceType.19T.Sexual</t>
  </si>
  <si>
    <t>Wxoc5YKvB5N</t>
  </si>
  <si>
    <t>Z8MTaDxRBP6</t>
  </si>
  <si>
    <t>egW0hBcZeD2</t>
  </si>
  <si>
    <t>tIZRQs0FK5P</t>
  </si>
  <si>
    <t>noEF3Mx7aBu</t>
  </si>
  <si>
    <t>QOawCj9oLNS</t>
  </si>
  <si>
    <t>N0PwGN3UKWx</t>
  </si>
  <si>
    <t>BDPEHrovntA</t>
  </si>
  <si>
    <t>K9Cw4402aAh</t>
  </si>
  <si>
    <t>JqZFtdn1sG3</t>
  </si>
  <si>
    <t>ftAnvKhxRxl</t>
  </si>
  <si>
    <t>wRYm1EaHwN6</t>
  </si>
  <si>
    <t>bePcXLCq9Ov</t>
  </si>
  <si>
    <t>aIbkjGjUZvE</t>
  </si>
  <si>
    <t>dHewx3ia8a6</t>
  </si>
  <si>
    <t>pk98FEsOJcz</t>
  </si>
  <si>
    <t>BnuNBXdgkKi</t>
  </si>
  <si>
    <t>1-4</t>
  </si>
  <si>
    <t>5-9</t>
  </si>
  <si>
    <t>&lt;1</t>
  </si>
  <si>
    <t>25-29</t>
  </si>
  <si>
    <t>30-34</t>
  </si>
  <si>
    <t>35-39</t>
  </si>
  <si>
    <t>40-44</t>
  </si>
  <si>
    <t>45-49</t>
  </si>
  <si>
    <t>50+</t>
  </si>
  <si>
    <t>10-14</t>
  </si>
  <si>
    <t>15-17</t>
  </si>
  <si>
    <t>15-19</t>
  </si>
  <si>
    <t>20-24</t>
  </si>
  <si>
    <t>&lt;15</t>
  </si>
  <si>
    <t>15+</t>
  </si>
  <si>
    <t>Qcj9g7o4iZz</t>
  </si>
  <si>
    <t>sort_order</t>
  </si>
  <si>
    <t>sMBMO5xAq5T</t>
  </si>
  <si>
    <t>yxu0TxWiJAM</t>
  </si>
  <si>
    <t>TpXlQcoXGZF</t>
  </si>
  <si>
    <t>VHpjs9qdLFF</t>
  </si>
  <si>
    <t>jcGQdcpPSJP</t>
  </si>
  <si>
    <t>HtpYIYs18ng</t>
  </si>
  <si>
    <t>ttf9eZCHsTU</t>
  </si>
  <si>
    <t>GaScV37Kk29</t>
  </si>
  <si>
    <t>meeNUPwEOtj</t>
  </si>
  <si>
    <t>AZaNm5B8vn9</t>
  </si>
  <si>
    <t>R32YPF38CJJ</t>
  </si>
  <si>
    <t>JEth8vg25Rv</t>
  </si>
  <si>
    <t>rQLOOlL3UOQ</t>
  </si>
  <si>
    <t>eQG9DwiqSQR</t>
  </si>
  <si>
    <t>dim_name</t>
  </si>
  <si>
    <t>Males</t>
  </si>
  <si>
    <t>hDBPKTjUPDm</t>
  </si>
  <si>
    <t>Females</t>
  </si>
  <si>
    <t>ZOYVg7Hosni</t>
  </si>
  <si>
    <t>Gxcf2DK8vNc</t>
  </si>
  <si>
    <t>Unspecified sex</t>
  </si>
  <si>
    <t>Male</t>
  </si>
  <si>
    <t>Female</t>
  </si>
  <si>
    <t>Qn0I5FbKQOA</t>
  </si>
  <si>
    <t>Z1EnpTPaUfq</t>
  </si>
  <si>
    <t>2018Oct</t>
  </si>
  <si>
    <t>10-50+</t>
  </si>
  <si>
    <t>F</t>
  </si>
  <si>
    <t>distribute</t>
  </si>
  <si>
    <t>NA</t>
  </si>
  <si>
    <t>replicate</t>
  </si>
  <si>
    <t>F/M</t>
  </si>
  <si>
    <t>calculation</t>
  </si>
  <si>
    <t>(A-B)/B</t>
  </si>
  <si>
    <t>M</t>
  </si>
  <si>
    <t>&lt;1-50+</t>
  </si>
  <si>
    <t>F/M/U</t>
  </si>
  <si>
    <t>1-50+</t>
  </si>
  <si>
    <t>A/B</t>
  </si>
  <si>
    <t>Zfg3cHN5TMz</t>
  </si>
  <si>
    <t>U</t>
  </si>
  <si>
    <t>15-50+</t>
  </si>
  <si>
    <t>data_pack_code</t>
  </si>
  <si>
    <t>data_pack_sheet</t>
  </si>
  <si>
    <t>data_pack_type</t>
  </si>
  <si>
    <t>B.pe_iso</t>
  </si>
  <si>
    <t>B.age_set</t>
  </si>
  <si>
    <t>B.sex_set</t>
  </si>
  <si>
    <t>B.dx_code</t>
  </si>
  <si>
    <t>A.pe_iso</t>
  </si>
  <si>
    <t>A.age_set</t>
  </si>
  <si>
    <t>A.sex_set</t>
  </si>
  <si>
    <t>A.kp_set</t>
  </si>
  <si>
    <t>model_sets</t>
  </si>
  <si>
    <t>missing_sex_1</t>
  </si>
  <si>
    <t>missing_age_1</t>
  </si>
  <si>
    <t>missing_age_2</t>
  </si>
  <si>
    <t>&lt;15/&gt;15.d</t>
  </si>
  <si>
    <t>weight</t>
  </si>
  <si>
    <t>dim_item_name</t>
  </si>
  <si>
    <t>e485zBiR7vG</t>
  </si>
  <si>
    <t>jyUTj5YC3OK</t>
  </si>
  <si>
    <t>Cascade sex</t>
  </si>
  <si>
    <t>NIsIlYMtPwE</t>
  </si>
  <si>
    <t>HTS_SELF.N.Age/Sex/HIVSelfTest.19T</t>
  </si>
  <si>
    <t>lhkxWkPBesU</t>
  </si>
  <si>
    <t>HTS_SELF.N.Age/Sex/HIVSelfTest.18R</t>
  </si>
  <si>
    <t>PP_PREV.N.Age/Sex.18R</t>
  </si>
  <si>
    <t>zlDCT6bpkY1</t>
  </si>
  <si>
    <t>10-50+.all</t>
  </si>
  <si>
    <t>VCCs1f22cOR</t>
  </si>
  <si>
    <t>UjruEYjGK4R</t>
  </si>
  <si>
    <t>FSW</t>
  </si>
  <si>
    <t>qY5T9mKjsz5</t>
  </si>
  <si>
    <t>MSM</t>
  </si>
  <si>
    <t>CKCeNqWcxXe</t>
  </si>
  <si>
    <t>PWID</t>
  </si>
  <si>
    <t>pi7naVKPzSM</t>
  </si>
  <si>
    <t>eiR4kOjT60r</t>
  </si>
  <si>
    <t>TG</t>
  </si>
  <si>
    <t>Key Populations v3</t>
  </si>
  <si>
    <t>kp1</t>
  </si>
  <si>
    <t>FokGv0LCTYj</t>
  </si>
  <si>
    <t>Test Results</t>
  </si>
  <si>
    <t>KM4dyooZHUP</t>
  </si>
  <si>
    <t>Positive</t>
  </si>
  <si>
    <t>Gb0GYkqotaO</t>
  </si>
  <si>
    <t>Negative</t>
  </si>
  <si>
    <t>G6OYSzplF5a</t>
  </si>
  <si>
    <t>wyeCT63FkXB</t>
  </si>
  <si>
    <t>Female PWID</t>
  </si>
  <si>
    <t>Male PWID</t>
  </si>
  <si>
    <t>Pfw6StSK8Wv</t>
  </si>
  <si>
    <t>MSM SW</t>
  </si>
  <si>
    <t>aqmuvVX1H0v</t>
  </si>
  <si>
    <t>MSM not SW</t>
  </si>
  <si>
    <t>TG SW</t>
  </si>
  <si>
    <t>bEqNZtIA0Jb</t>
  </si>
  <si>
    <t>kgDh0sCkIAN</t>
  </si>
  <si>
    <t>TG not SW</t>
  </si>
  <si>
    <t>People in prisons and other enclosed settings</t>
  </si>
  <si>
    <t>dim_cop_type</t>
  </si>
  <si>
    <t>sex</t>
  </si>
  <si>
    <t>age</t>
  </si>
  <si>
    <t>kp</t>
  </si>
  <si>
    <t>option_uid</t>
  </si>
  <si>
    <t>option_name</t>
  </si>
  <si>
    <t>dim_uid</t>
  </si>
  <si>
    <t>dim_item_uid</t>
  </si>
  <si>
    <t>A.dx_id</t>
  </si>
  <si>
    <t>B.dx_id</t>
  </si>
  <si>
    <t>allocate</t>
  </si>
  <si>
    <t>1-50+/&lt;5</t>
  </si>
  <si>
    <t>GEND_GBV.N.Age/Sex/ViolenceType.18R</t>
  </si>
  <si>
    <t>ixWJbp4d84G</t>
  </si>
  <si>
    <t>&lt;1-18+</t>
  </si>
  <si>
    <t>18+</t>
  </si>
  <si>
    <t>Q6xWcyHDq6e</t>
  </si>
  <si>
    <t>missing_age</t>
  </si>
  <si>
    <t>Age: Cascade Age bands</t>
  </si>
  <si>
    <t>HTS_INDEX.N.newYield.Com</t>
  </si>
  <si>
    <t>HTS_INDEX.N.newYield.Fac</t>
  </si>
  <si>
    <t>HTS_INDEX.comPosShare</t>
  </si>
  <si>
    <t>A/(A+B)</t>
  </si>
  <si>
    <t>&lt;1 (Specific)</t>
  </si>
  <si>
    <t>&lt;15 (Specific)</t>
  </si>
  <si>
    <t>&lt;5 (Specific)</t>
  </si>
  <si>
    <t>1-9 (Specific)</t>
  </si>
  <si>
    <t>10-14 (Specific)</t>
  </si>
  <si>
    <t>15-19 (Specific)</t>
  </si>
  <si>
    <t>18-24 (Specific)</t>
  </si>
  <si>
    <t>20-24 (Specific)</t>
  </si>
  <si>
    <t>25-29 (Specific)</t>
  </si>
  <si>
    <t>25-49 (Specific)</t>
  </si>
  <si>
    <t>25+ (Specific)</t>
  </si>
  <si>
    <t>30-34 (Specific)</t>
  </si>
  <si>
    <t>35-39 (Specific)</t>
  </si>
  <si>
    <t>40-49 (Specific)</t>
  </si>
  <si>
    <t>15-17 (Specifc)</t>
  </si>
  <si>
    <t>15+ (Specific)</t>
  </si>
  <si>
    <t>50+ (Specific)</t>
  </si>
  <si>
    <t>tr</t>
  </si>
  <si>
    <t>M8W7M5GlOPh</t>
  </si>
  <si>
    <t>&lt;2 Months (Specific)</t>
  </si>
  <si>
    <t>2-12 Months (Specific)</t>
  </si>
  <si>
    <t>V1TzJFJTdHd</t>
  </si>
  <si>
    <t>&lt;2mo</t>
  </si>
  <si>
    <t>2-12mo</t>
  </si>
  <si>
    <t>2 - 12 months</t>
  </si>
  <si>
    <t>pbXCUjm50XK</t>
  </si>
  <si>
    <t>bDWsPYyXgWP</t>
  </si>
  <si>
    <t>HIV Test Status (Specific)</t>
  </si>
  <si>
    <t>Newly Identified Positive (Specific)</t>
  </si>
  <si>
    <t>mSBg9AZx1lV</t>
  </si>
  <si>
    <t>Known at Entry Positive (Specific)</t>
  </si>
  <si>
    <t>e9fbFnQEyyA</t>
  </si>
  <si>
    <t>Newly Identified Negative (Specific)</t>
  </si>
  <si>
    <t>viYXyEy7wKi</t>
  </si>
  <si>
    <t>Known at Entry Positive</t>
  </si>
  <si>
    <t>LvheCKbuFJZ</t>
  </si>
  <si>
    <t>Newly Identified Negative</t>
  </si>
  <si>
    <t>BiB1MtA7o4A</t>
  </si>
  <si>
    <t>Newly Identified Positive</t>
  </si>
  <si>
    <t>Vr59uUJBySG</t>
  </si>
  <si>
    <t>co</t>
  </si>
  <si>
    <t>Cieg8r0FOGJ</t>
  </si>
  <si>
    <t>rslp7ddiBzy</t>
  </si>
  <si>
    <t>vt</t>
  </si>
  <si>
    <t>Sexual Violence (Post-Rape Care)</t>
  </si>
  <si>
    <t>bchuAJAMSZO</t>
  </si>
  <si>
    <t>vt_sv</t>
  </si>
  <si>
    <t>vt_pe</t>
  </si>
  <si>
    <t>Physical and/or Emotional Violence</t>
  </si>
  <si>
    <t>USe0kg2Bind</t>
  </si>
  <si>
    <t>tss</t>
  </si>
  <si>
    <t>st</t>
  </si>
  <si>
    <t>st_da</t>
  </si>
  <si>
    <t>10-14, Female, Directly-Assisted</t>
  </si>
  <si>
    <t>10-14, Male, Directly-Assisted</t>
  </si>
  <si>
    <t>15-19, Female, Directly-Assisted</t>
  </si>
  <si>
    <t>15-19, Male, Directly-Assisted</t>
  </si>
  <si>
    <t>20-24, Female, Directly-Assisted</t>
  </si>
  <si>
    <t>20-24, Male, Directly-Assisted</t>
  </si>
  <si>
    <t>25-29, Female, Directly-Assisted</t>
  </si>
  <si>
    <t>25-29, Male, Directly-Assisted</t>
  </si>
  <si>
    <t>30-34, Female, Directly-Assisted</t>
  </si>
  <si>
    <t>30-34, Male, Directly-Assisted</t>
  </si>
  <si>
    <t>35-39, Female, Directly-Assisted</t>
  </si>
  <si>
    <t>35-39, Male, Directly-Assisted</t>
  </si>
  <si>
    <t>40-49, Female, Directly-Assisted</t>
  </si>
  <si>
    <t>40-49, Male, Directly-Assisted</t>
  </si>
  <si>
    <t>50+, Female, Directly-Assisted</t>
  </si>
  <si>
    <t>50+, Male, Directly-Assisted</t>
  </si>
  <si>
    <t>Nq3ChI5JgmB</t>
  </si>
  <si>
    <t>UPG88XPoXm1</t>
  </si>
  <si>
    <t>KvFHnxsxCYn</t>
  </si>
  <si>
    <t>bKEwJc0xRjD</t>
  </si>
  <si>
    <t>UW4vGFjkLpN</t>
  </si>
  <si>
    <t>C25DdizGeAJ</t>
  </si>
  <si>
    <t>e1cM3liTE75</t>
  </si>
  <si>
    <t>adx4qKyxtQw</t>
  </si>
  <si>
    <t>JtKhIdUeRSG</t>
  </si>
  <si>
    <t>wrQDXRltBiF</t>
  </si>
  <si>
    <t>ZKC0dgWyi2e</t>
  </si>
  <si>
    <t>ZAHTk6C8Bpf</t>
  </si>
  <si>
    <t>aND0YTwZzA5</t>
  </si>
  <si>
    <t>QoPODSAWZJM</t>
  </si>
  <si>
    <t>vOCMa9KoFkZ</t>
  </si>
  <si>
    <t>OmJLpLhpjRs</t>
  </si>
  <si>
    <t>10-14, Female, Unassisted</t>
  </si>
  <si>
    <t>10-14, Male, Unassisted</t>
  </si>
  <si>
    <t>15-19, Female, Unassisted</t>
  </si>
  <si>
    <t>15-19, Male, Unassisted</t>
  </si>
  <si>
    <t>20-24, Female, Unassisted</t>
  </si>
  <si>
    <t>20-24, Male, Unassisted</t>
  </si>
  <si>
    <t>25-29, Female, Unassisted</t>
  </si>
  <si>
    <t>25-29, Male, Unassisted</t>
  </si>
  <si>
    <t>30-34, Female, Unassisted</t>
  </si>
  <si>
    <t>30-34, Male, Unassisted</t>
  </si>
  <si>
    <t>35-39, Female, Unassisted</t>
  </si>
  <si>
    <t>35-39, Male, Unassisted</t>
  </si>
  <si>
    <t>40-49, Female, Unassisted</t>
  </si>
  <si>
    <t>40-49, Male, Unassisted</t>
  </si>
  <si>
    <t>50+, Female, Unassisted</t>
  </si>
  <si>
    <t>50+, Male, Unassisted</t>
  </si>
  <si>
    <t>FZAip9U20FO</t>
  </si>
  <si>
    <t>F5ycS1AO6L9</t>
  </si>
  <si>
    <t>Yygmra0wjfS</t>
  </si>
  <si>
    <t>TmbqdGlsjgU</t>
  </si>
  <si>
    <t>tvFpGPvf1dE</t>
  </si>
  <si>
    <t>r8vRZxiL3On</t>
  </si>
  <si>
    <t>dzebNOszBWB</t>
  </si>
  <si>
    <t>NREmZ5nTjPG</t>
  </si>
  <si>
    <t>RSmTAFblejf</t>
  </si>
  <si>
    <t>iOs0xO0rO9a</t>
  </si>
  <si>
    <t>T0FBc732ciN</t>
  </si>
  <si>
    <t>hjOHLzQd87D</t>
  </si>
  <si>
    <t>s4mTCYfXiCO</t>
  </si>
  <si>
    <t>JutT06Y9k0T</t>
  </si>
  <si>
    <t>wKVNLxXdver</t>
  </si>
  <si>
    <t>XQhaXRu6a7c</t>
  </si>
  <si>
    <t>st_ua</t>
  </si>
  <si>
    <t>Directly-Assisted</t>
  </si>
  <si>
    <t>CM0ud5U3iWD</t>
  </si>
  <si>
    <t>Unassisted</t>
  </si>
  <si>
    <t>QvMZVdK1AkM</t>
  </si>
  <si>
    <t>tr_pos</t>
  </si>
  <si>
    <t>tr_neg</t>
  </si>
  <si>
    <t>AkPJat3QJAW</t>
  </si>
  <si>
    <t>rpwKzAIR5f4</t>
  </si>
  <si>
    <t>uPSmoMfxrjX</t>
  </si>
  <si>
    <t>H4zDlK3nU3e</t>
  </si>
  <si>
    <t>S4ixSeMtEoZ</t>
  </si>
  <si>
    <t>gO96NV54yD4</t>
  </si>
  <si>
    <t>fRj8O5iNQlV</t>
  </si>
  <si>
    <t>edBMVgUohvf</t>
  </si>
  <si>
    <t>kp2</t>
  </si>
  <si>
    <t>(FSW)</t>
  </si>
  <si>
    <t>(Female PWID)</t>
  </si>
  <si>
    <t>(MSM SW)</t>
  </si>
  <si>
    <t>(MSM not SW)</t>
  </si>
  <si>
    <t>(Male PWID)</t>
  </si>
  <si>
    <t>(People in prisons and other enclosed settings)</t>
  </si>
  <si>
    <t>(TG SW)</t>
  </si>
  <si>
    <t>(TG not SW)</t>
  </si>
  <si>
    <t>as</t>
  </si>
  <si>
    <t>ART Status</t>
  </si>
  <si>
    <t>M5w5H1KU40l</t>
  </si>
  <si>
    <t>Already on ART</t>
  </si>
  <si>
    <t>blnuJdt8f1Y</t>
  </si>
  <si>
    <t>Life-long ART, Already</t>
  </si>
  <si>
    <t>rSKP7Z85FX9</t>
  </si>
  <si>
    <t>udcRwufEXFQ</t>
  </si>
  <si>
    <t>Life-long ART, New</t>
  </si>
  <si>
    <t>x9wEpHXMZ5Z</t>
  </si>
  <si>
    <t>New on ART</t>
  </si>
  <si>
    <t>as_already</t>
  </si>
  <si>
    <t>as_new</t>
  </si>
  <si>
    <t>tss_NewPos</t>
  </si>
  <si>
    <t>tss_KnowPos</t>
  </si>
  <si>
    <t>tss_NewNeg</t>
  </si>
  <si>
    <t>RbB7UEptrN6</t>
  </si>
  <si>
    <t>j8AfwCZj95X</t>
  </si>
  <si>
    <t>GMK9eIdXAob</t>
  </si>
  <si>
    <t>Other Key Populations</t>
  </si>
  <si>
    <t>PmA9jG2I2PY</t>
  </si>
  <si>
    <t>bQfzRTksp0Y</t>
  </si>
  <si>
    <t>kp3</t>
  </si>
  <si>
    <t>ti</t>
  </si>
  <si>
    <t>&lt;15, Female, Routine, Positive</t>
  </si>
  <si>
    <t>GeL5oP9wATo</t>
  </si>
  <si>
    <t>15+, Female, Routine, Positive</t>
  </si>
  <si>
    <t>v6YVL9IVWdw</t>
  </si>
  <si>
    <t>&lt;15, Male, Routine, Positive</t>
  </si>
  <si>
    <t>cvAG22BILFC</t>
  </si>
  <si>
    <t>15+, Male, Routine, Positive</t>
  </si>
  <si>
    <t>rtTEeMyntFT</t>
  </si>
  <si>
    <t>ti_routine</t>
  </si>
  <si>
    <t>Routine</t>
  </si>
  <si>
    <t>rGptWqlhaVU</t>
  </si>
  <si>
    <t>tr_pos2</t>
  </si>
  <si>
    <t>tr_neg2</t>
  </si>
  <si>
    <t>Category option combo</t>
  </si>
  <si>
    <t>&lt;15/&gt;15</t>
  </si>
  <si>
    <t>&lt;= 2 months</t>
  </si>
  <si>
    <t>J4SQd7SnDi2</t>
  </si>
  <si>
    <t>A.dx_code</t>
  </si>
  <si>
    <t>B.kp_set</t>
  </si>
  <si>
    <t>A.technical_area</t>
  </si>
  <si>
    <t>A.technical_area_uid</t>
  </si>
  <si>
    <t>A.num_or_den</t>
  </si>
  <si>
    <t>A.num_or_den_uid</t>
  </si>
  <si>
    <t>A.disagg_type</t>
  </si>
  <si>
    <t>A.disagg_type_uid</t>
  </si>
  <si>
    <t>B.technical_area</t>
  </si>
  <si>
    <t>B.technical_area_uid</t>
  </si>
  <si>
    <t>B.num_or_den</t>
  </si>
  <si>
    <t>B.num_or_den_uid</t>
  </si>
  <si>
    <t>B.disagg_type</t>
  </si>
  <si>
    <t>B.disagg_type_uid</t>
  </si>
  <si>
    <t>A.other_disagg_set</t>
  </si>
  <si>
    <t>B.other_disagg_set</t>
  </si>
  <si>
    <t>other_disagg</t>
  </si>
  <si>
    <t>hts_mod</t>
  </si>
  <si>
    <t>hts_mod_com_mob</t>
  </si>
  <si>
    <t>hts_mod_com_ndx</t>
  </si>
  <si>
    <t>hts_mod_fac_ndx</t>
  </si>
  <si>
    <t>hts_mod_com_vct</t>
  </si>
  <si>
    <t>hts_mod_com_otr</t>
  </si>
  <si>
    <t>hts_mod_fac_ew</t>
  </si>
  <si>
    <t>hts_mod_fac_inpat</t>
  </si>
  <si>
    <t>hts_mod_fac_nut</t>
  </si>
  <si>
    <t>hts_mod_fac_ped</t>
  </si>
  <si>
    <t>hts_mod_fac_sti</t>
  </si>
  <si>
    <t>hts_mod_fac_vct</t>
  </si>
  <si>
    <t>hts_mod_fac_otr_pitc</t>
  </si>
  <si>
    <t>Prioritization</t>
  </si>
  <si>
    <t>r4zbW3owX9n</t>
  </si>
  <si>
    <t>A+B</t>
  </si>
  <si>
    <t>wDWUutgeEX8</t>
  </si>
  <si>
    <t>VRgwEePUvdD</t>
  </si>
  <si>
    <t>A.value_na</t>
  </si>
  <si>
    <t>B.value_na</t>
  </si>
  <si>
    <t>2019Oct</t>
  </si>
  <si>
    <t>IQJhBffoYIJ</t>
  </si>
  <si>
    <t>joBC2hxzpGN</t>
  </si>
  <si>
    <t>VMMC_CIRC.N.indeterminateRate.19R</t>
  </si>
  <si>
    <t>XmLFyQIck8l</t>
  </si>
  <si>
    <t>OVC_SERV.N.Age/Sex/ProgramStatus.19R</t>
  </si>
  <si>
    <t>ZMUKJYscWHX</t>
  </si>
  <si>
    <t>OVC_SERV.N.Age/Sex/ProgramStatus.20T</t>
  </si>
  <si>
    <t>Qx1Fuqgr7Oy</t>
  </si>
  <si>
    <t>pn2ZUhVKAzU</t>
  </si>
  <si>
    <t>cYuGzgrKGpa</t>
  </si>
  <si>
    <t>TX_TB.D.newTBYield.19R</t>
  </si>
  <si>
    <t>TX_TB.D.alreadyTBYield.19R</t>
  </si>
  <si>
    <t>JdNRUArB8D7</t>
  </si>
  <si>
    <t>BURHq262iEL</t>
  </si>
  <si>
    <t>1-4 (Inclusive)</t>
  </si>
  <si>
    <t>RV1ZeOr98rI</t>
  </si>
  <si>
    <t>5-9 (Specific)</t>
  </si>
  <si>
    <t>BLXmhECo3EY</t>
  </si>
  <si>
    <t>18+ (Specific)</t>
  </si>
  <si>
    <t>kyKHoWxTzHR</t>
  </si>
  <si>
    <t>40-44 (Specific)</t>
  </si>
  <si>
    <t>MsbFixtB8mu</t>
  </si>
  <si>
    <t>45-49 (Specific)</t>
  </si>
  <si>
    <t>FVCb4OUYkiG</t>
  </si>
  <si>
    <t>Community - Index FY19R/FY20T</t>
  </si>
  <si>
    <t>H6bOQCcwrBV</t>
  </si>
  <si>
    <t>Facility - Index FY19R/FY20T</t>
  </si>
  <si>
    <t>NcerbGnPdIc</t>
  </si>
  <si>
    <t>Community - Mobile FY19R/FY20T</t>
  </si>
  <si>
    <t>xmYVJTekCtl</t>
  </si>
  <si>
    <t>Community - VCT FY19R/FY20T</t>
  </si>
  <si>
    <t>oQmZ3urcBbP</t>
  </si>
  <si>
    <t>Community - Other Services FY19R/FY20T</t>
  </si>
  <si>
    <t>NwSG4Qshiu1</t>
  </si>
  <si>
    <t>Facility - Emergency Ward FY19R/FY20T</t>
  </si>
  <si>
    <t>INrbTYREjOX</t>
  </si>
  <si>
    <t>Facility - Inpatient FY19R/FY20T</t>
  </si>
  <si>
    <t>d7vYERohPfS</t>
  </si>
  <si>
    <t>Facility - Malnutrition FY19R/FY20T</t>
  </si>
  <si>
    <t>OAwcN9zCmLM</t>
  </si>
  <si>
    <t>Facility - Pediatric FY19R/FY20T</t>
  </si>
  <si>
    <t>t7WRCjHNaEU</t>
  </si>
  <si>
    <t>Facility - STI Clinic FY19R/FY20T</t>
  </si>
  <si>
    <t>ML7FROoRi6r</t>
  </si>
  <si>
    <t>Facility - VCT FY19R/FY20T</t>
  </si>
  <si>
    <t>lRAOEGldPtj</t>
  </si>
  <si>
    <t>Facility - Other PITC FY19R/FY20T</t>
  </si>
  <si>
    <t>v5AuS5Aw9Ks</t>
  </si>
  <si>
    <t>Facility - VMMC FY19R/FY20T</t>
  </si>
  <si>
    <t>sZWARAOoyvZ</t>
  </si>
  <si>
    <t>Facility - PMTCT ANC1 Only FY19R/FY20T</t>
  </si>
  <si>
    <t>Jm6OwL9IqEa</t>
  </si>
  <si>
    <t>HTS Modality (USE ONLY for FY19 Results/FY20 Targets)</t>
  </si>
  <si>
    <t>hts_mod_fac_vmmc</t>
  </si>
  <si>
    <t>hts_mod_fac_anc_1</t>
  </si>
  <si>
    <t>Facility - TB Clinic FY19R/FY20T</t>
  </si>
  <si>
    <t>K4CBGfivWfg</t>
  </si>
  <si>
    <t>hts_mod_fac_tb</t>
  </si>
  <si>
    <t>ADVwZkCgNgj</t>
  </si>
  <si>
    <t>r61HIpFU8iU</t>
  </si>
  <si>
    <t>U_age</t>
  </si>
  <si>
    <t>MnAgKVcL97H</t>
  </si>
  <si>
    <t>Unknown Age</t>
  </si>
  <si>
    <t>y1qnRg4a8dz</t>
  </si>
  <si>
    <t>U_sex</t>
  </si>
  <si>
    <t>Unknown Sex</t>
  </si>
  <si>
    <t>iAoGQ8eQPTP</t>
  </si>
  <si>
    <t>VMMC_CIRC.N.Age/Sex/HIVStatus.T</t>
  </si>
  <si>
    <t>DvmJZSv0zxL</t>
  </si>
  <si>
    <t>A.dx_name</t>
  </si>
  <si>
    <t>PMTCT_STAT (D, DSD+TA, Age/Sex) TARGET</t>
  </si>
  <si>
    <t>PMTCT_STAT Percentage at Entry Known Positive (DSD+TA, Age/Sex/Known)</t>
  </si>
  <si>
    <t>FY19 Results Analytic Indicators: HTS_TST Yeild (HTS_TST_POS/HTS_TST)</t>
  </si>
  <si>
    <t>PMTCT_HEI_POS (DSD+TA, &lt;= 2 months/Positive) Yield</t>
  </si>
  <si>
    <t>PMTCT_HEI_POS (DSD+TA, 2 - 12 months/Positive) Yield</t>
  </si>
  <si>
    <t>TB_STAT (DSD+TA, Age Aggregated/Sex) TARGETS</t>
  </si>
  <si>
    <t>TB_STAT Percentage With already known status</t>
  </si>
  <si>
    <t>VMMC_CIRC (DSD+TA, Age/Sex/HIVStatus) TARGET</t>
  </si>
  <si>
    <t>VMMC_CIRC Indeterminate Rate (N, HIVStatus) FY19R</t>
  </si>
  <si>
    <t>TX_CURR (DSD+TA, Age/Sex/HIVStatus) TARGET</t>
  </si>
  <si>
    <t>FY19 Results Analytic Indicators: HTS_TST_POS (Age/Sex)</t>
  </si>
  <si>
    <t>COP19 Targets HTS_SELF Directly Assisted</t>
  </si>
  <si>
    <t>COP19 Targets HTS_SELF Unassisted</t>
  </si>
  <si>
    <t>HTS_SELF (N, DSD+TA, Age/Sex/HIVSelfTest) TARGET</t>
  </si>
  <si>
    <t>TX_TB Yield New ART  (D, DSD+TA, Age/Sex/TBScreen/NewExistingART/HIVStatus)</t>
  </si>
  <si>
    <t>TX_TB Yield Already On ART (D, DSD+TA, Age/Sex/TBScreen/NewExistingART/HIVStatus)</t>
  </si>
  <si>
    <t>OVC_SERV (DSD+TA, Age/Sex/ProgramStatus) TARGET</t>
  </si>
  <si>
    <t>KP_MAT (DSD+TA, Sex) TARGET</t>
  </si>
  <si>
    <t>HTS_TST (DSD+TA, KeyPop/Result) TARGET</t>
  </si>
  <si>
    <t>TX_NEW (DSD+TA, KeyPop/HIVStatus) TARGET</t>
  </si>
  <si>
    <t>PP_PREV (DSD+TA, Age/Sex) TARGET</t>
  </si>
  <si>
    <t>PrEP_NEW (DSD+TA, Age/Sex) TARGET</t>
  </si>
  <si>
    <t>GEND_GBV (DSD+TA, Physical Violence) TARGET</t>
  </si>
  <si>
    <t>GEND_GBV (DSD+TA, Sexual Violence) TARGET</t>
  </si>
  <si>
    <t>COP19 Targets GEND_GBV</t>
  </si>
  <si>
    <t>PrEP_NEW (DSD+TA, KeyPopAbr) TARGET</t>
  </si>
  <si>
    <t>B.dx_name</t>
  </si>
  <si>
    <t>TB_STAT (D, DSD+TA, , Age Aggregated/Sex)</t>
  </si>
  <si>
    <t>HTS_SELF (N, DSD+TA, Age/Sex/HIVSelfTest)</t>
  </si>
  <si>
    <t>OVC_SERV (DSD+TA, Age/Sex/ProgramStatus)</t>
  </si>
  <si>
    <t>PP_PREV (DSD+TA, Age/Sex)</t>
  </si>
  <si>
    <t>GEND_GBV (DSD+TA, Age/Sex/ViolenceType)</t>
  </si>
  <si>
    <t>KP_MAT.N.Sex.T_1</t>
  </si>
  <si>
    <t>GEND_GBV.N.ViolenceServiceType.T_1.physEmot</t>
  </si>
  <si>
    <t>PrEP_NEW.N.KeyPopAbr.T_1</t>
  </si>
  <si>
    <t>KP_PREV.N.KeyPop.T_1</t>
  </si>
  <si>
    <t>IMPATT.PRIORITY_SNU.T_1</t>
  </si>
  <si>
    <t>HTS_SELF.N.directlyAssistedGrowth</t>
  </si>
  <si>
    <t>FY19 Results HTS_SELF (N, Age/Sex/HIVSelfTest): Directly Assisted</t>
  </si>
  <si>
    <t>knpE6ztsXFH</t>
  </si>
  <si>
    <t>HTS_TST_PMTCTPostANC1.N.yield</t>
  </si>
  <si>
    <t>Facility - PMTCT Post ANC1 FY19R/FY20T</t>
  </si>
  <si>
    <t>hts_mod_fac_post_anc_1</t>
  </si>
  <si>
    <t>qdFQQc5dCbH</t>
  </si>
  <si>
    <t>PrEP_CURR.N.Age/Sex.T</t>
  </si>
  <si>
    <t>PrEP_CURR (DSD+TA, Age/Sex) TARGET</t>
  </si>
  <si>
    <t>LsYnSkDbiy4</t>
  </si>
  <si>
    <t>PrEP_CURR (DSD+TA, KeyPopAbr) TARGET</t>
  </si>
  <si>
    <t>PrEP_CURR.N.KeyPop.T_1</t>
  </si>
  <si>
    <t>PrEP_CURR.N.KeyPopAbr.T</t>
  </si>
  <si>
    <t>oNlGsqtlLhO</t>
  </si>
  <si>
    <t>HTS_SELF.N.Age/Sex/HIVSelfTest.R</t>
  </si>
  <si>
    <t>GEND_GBV.N.ViolenceServiceType.T_1.Sexual</t>
  </si>
  <si>
    <t>PMTCT_STAT.D.Age_Sex.T_1</t>
  </si>
  <si>
    <t>TB_STAT.D.Age_Sex.T_1</t>
  </si>
  <si>
    <t>VMMC_CIRC.N.Age_Sex.T_1</t>
  </si>
  <si>
    <t>TX_CURR.N.Age_Sex_HIVStatus.T_1</t>
  </si>
  <si>
    <t>HTS_SELF.N.Age_Sex_HIVSelfTest.T_1.Directly_Assisted</t>
  </si>
  <si>
    <t>HTS_SELF.N.Age_Sex_HIVSelfTest.T_1.Unassisted</t>
  </si>
  <si>
    <t>OVC_SERV.N.Age_Sex.T_1</t>
  </si>
  <si>
    <t>HTS_TST.N.KeyPop_Result.T_1.Positive</t>
  </si>
  <si>
    <t>HTS_TST.N.KeyPop_Result.T_1.Negative</t>
  </si>
  <si>
    <t>TX_NEW.N.KeyPop_HIVStatus.T_1</t>
  </si>
  <si>
    <t>PP_PREV.N.Age_Sex.T_1</t>
  </si>
  <si>
    <t>PrEP_NEW.N.Age_Sex.T_1</t>
  </si>
  <si>
    <t>PrEP_CURR.N.Age_Sex.T_1</t>
  </si>
  <si>
    <t>HTS_SELF.N.Age_Sex_HIVSelfTest.R</t>
  </si>
  <si>
    <t>[PrEP_CURR.N.Age/Sex.T_1]</t>
  </si>
  <si>
    <t>[TB_STAT.D.Age/Sex.T_1]</t>
  </si>
  <si>
    <t>[VMMC_CIRC.N.Age/Sex.T_1]</t>
  </si>
  <si>
    <t>[TX_CURR.N.Age/Sex/HIVStatus.T_1]</t>
  </si>
  <si>
    <t>[HTS_SELF.N.Age/Sex/HIVSelfTest.T_1.Directly_Assisted]</t>
  </si>
  <si>
    <t>[HTS_SELF.N.Age/Sex/HIVSelfTest.T_1.Unassisted]</t>
  </si>
  <si>
    <t>[KP_MAT.N.Sex.T_1]</t>
  </si>
  <si>
    <t>[HTS_TST.N.KeyPop/Result.T_1.Positive]</t>
  </si>
  <si>
    <t>[HTS_TST.N.KeyPop/Result.T_1.Negative]</t>
  </si>
  <si>
    <t>[TX_NEW.N.KeyPop/HIVStatus.T_1]</t>
  </si>
  <si>
    <t>[PP_PREV.N.Age/Sex.T_1]</t>
  </si>
  <si>
    <t>[PrEP_NEW.N.Age/Sex.T_1]</t>
  </si>
  <si>
    <t>[GEND_GBV.N.ViolenceServiceType.T_1.Physical_and_or_Emotional_Violence]</t>
  </si>
  <si>
    <t>[PMTCT_HEI_POS.N.Age/HIVStatus.R.&lt;= 2 months]%/%[PMTCT_EID.N.Age.R.&lt;= 2 months]</t>
  </si>
  <si>
    <t>[PMTCT_HEI_POS.N.Age/HIVStatus.R.2 - 12 months]%/%[PMTCT_EID.N.Age.R.2 - 12 months]</t>
  </si>
  <si>
    <t>([TB_STAT.D.Age/Sex.T_1]-[TB_STAT.D.Age/Sex.R])%/%[TB_STAT.D.Age/Sex.R]</t>
  </si>
  <si>
    <t>[TB_STAT.N.Age Agg/Sex/KnownNewPosNeg.R.Known_at_Entry_Positive]%/%[TB_STAT.N.Age Agg/Sex/KnownNewPosNeg.R]</t>
  </si>
  <si>
    <t>[TB_STAT.N.Age Agg/Sex/KnownNewPosNeg.R.Newly_Identified_Positive]%/%([TB_STAT.N.Age Agg/Sex/KnownNewPosNeg.R.Newly_Identified_Positive]+[TB_STAT.N.Age Agg/Sex/KnownNewPosNeg.R.Newly_Identified_Negative])</t>
  </si>
  <si>
    <t>[VMMC_CIRC.N.HIVStatus/Sex.R.Positive]%/%([VMMC_CIRC.N.HIVStatus/Sex.R.Positive]+[VMMC_CIRC.N.HIVStatus/Sex.R.Negative])</t>
  </si>
  <si>
    <t>([HTS_TST.N.Index/Age/Sex/Result.R.Positive]+[HTS_TST.N.IndexMod/Age/Sex/Result.R.Positive])%/%([HTS_TST.N.Index/Age/Sex/Result.R.Positive]+[HTS_TST.N.IndexMod/Age/Sex/Result.R.Positive]+[HTS_TST.N.Index/Age/Sex/Result.R.Negative]+[HTS_TST.N.IndexMod/Age/Sex/Result.R.Negative])</t>
  </si>
  <si>
    <t>([HTS_TST.N.IndexMod/Age/Sex/Result.R.Positive])%/%([HTS_TST.N.Index/Age/Sex/Result.R.Positive]+[HTS_TST.N.IndexMod/Age/Sex/Result.R.Positive])</t>
  </si>
  <si>
    <t>[HTS_TST.N.MobileMod/Age/Sex/Result.R.Positive]%/%[HTS_TST_POS.N.???.R]</t>
  </si>
  <si>
    <t>[HTS_TST.N.VCTMod/Age/Sex/Result.R.Positive]%/%[HTS_TST_POS.N.???.R]</t>
  </si>
  <si>
    <t>[HTS_TST.N.OtherMod/Age/Sex/Result.R.Positive]%/%[HTS_TST_POS.N.???.R]</t>
  </si>
  <si>
    <t>[HTS_TST.N.Emergency Ward/Age/Sex/Result.R.Positive]%/%[HTS_TST_POS.N.???.R]</t>
  </si>
  <si>
    <t>[HTS_TST.N.Inpat/Age/Sex/Result.R.Positive]%/%[HTS_TST_POS.N.???.R]</t>
  </si>
  <si>
    <t>[HTS_TST.N.Malnutrition/Age/Sex/Result.R.Positive]%/%[HTS_TST_POS.N.???.R]</t>
  </si>
  <si>
    <t>[HTS_TST.N.Pediatric/Age/Sex/Result.R.Positive]%/%[HTS_TST_POS.N.???.R]</t>
  </si>
  <si>
    <t>[HTS_TST.N.STI Clinic/Age/Sex/Result.R.Positive]%/%[HTS_TST_POS.N.???.R]</t>
  </si>
  <si>
    <t>[HTS_TST.N.VCT/Age/Sex/Result.R.Positive]%/%[HTS_TST_POS.N.???.R]</t>
  </si>
  <si>
    <t>[HTS_TST.N.OtherPITC/Age/Sex/Result.R.Positive]%/%[HTS_TST_POS.N.???.R]</t>
  </si>
  <si>
    <t>[HTS_TST.N.MobileMod/Age/Sex/Result.R.Positive]%/%([HTS_TST.N.MobileMod/Age/Sex/Result.R.Positive]+[HTS_TST.N.MobileMod/Age/Sex/Result.R.Negative])</t>
  </si>
  <si>
    <t>[HTS_TST.N.VCTMod/Age/Sex/Result.R.Positive]%/%([HTS_TST.N.VCTMod/Age/Sex/Result.R.Positive]+[HTS_TST.N.VCTMod/Age/Sex/Result.R.Negative])</t>
  </si>
  <si>
    <t>[HTS_TST.N.OtherMod/Age/Sex/Result.R.Positive]%/%([HTS_TST.N.OtherMod/Age/Sex/Result.R.Positive]+[HTS_TST.N.OtherMod/Age/Sex/Result.R.Negative])</t>
  </si>
  <si>
    <t>[HTS_TST.N.Emergency Ward/Age/Sex/Result.R.Positive]%/%([HTS_TST.N.Emergency Ward/Age/Sex/Result.R.Positive]+[HTS_TST.N.Emergency Ward/Age/Sex/Result.R.Negative])</t>
  </si>
  <si>
    <t>[HTS_TST.N.Inpat/Age/Sex/Result.R.Positive]%/%([HTS_TST.N.Inpat/Age/Sex/Result.R.Positive]+[HTS_TST.N.Inpat/Age/Sex/Result.R.Negative])</t>
  </si>
  <si>
    <t>[HTS_TST.N.Malnutrition/Age/Sex/Result.R.Positive]%/%([HTS_TST.N.Malnutrition/Age/Sex/Result.R.Positive]+[HTS_TST.N.Malnutrition/Age/Sex/Result.R.Negative])</t>
  </si>
  <si>
    <t>[HTS_TST.N.Pediatric/Age/Sex/Result.R.Positive]%/%([HTS_TST.N.Pediatric/Age/Sex/Result.R.Positive]+[HTS_TST.N.Pediatric/Age/Sex/Result.R.Negative])</t>
  </si>
  <si>
    <t>[HTS_TST.N.STI Clinic/Age/Sex/Result.R.Positive]%/%([HTS_TST.N.STI Clinic/Age/Sex/Result.R.Positive]+[HTS_TST.N.STI Clinic/Age/Sex/Result.R.Negative])</t>
  </si>
  <si>
    <t>[HTS_TST.N.VCT/Age/Sex/Result.R.Positive]%/%([HTS_TST.N.VCT/Age/Sex/Result.R.Positive]+[HTS_TST.N.VCT/Age/Sex/Result.R.Negative])</t>
  </si>
  <si>
    <t>[HTS_TST.N.OtherPITC/Age/Sex/Result.R.Positive]%/%([HTS_TST.N.OtherPITC/Age/Sex/Result.R.Positive]+[HTS_TST.N.OtherPITC/Age/Sex/Result.R.Negative])</t>
  </si>
  <si>
    <t>[HTS_TST.N.PMTCTPostANC1/Age/Sex/Result.R.Positive]%/%([HTS_TST.N.PMTCTPostANC1/Age/Sex/Result.R.Positive]+[HTS_TST.N.PMTCTPostANC1/Age/Sex/Result.R.Negative])</t>
  </si>
  <si>
    <t>([HTS_SELF.N.Age/Sex/HIVSelfTest.T_1]-[HTS_SELF.N.Age/Sex/HIVSelfTest.R])%/%[HTS_SELF.N.Age/Sex/HIVSelfTest.R]</t>
  </si>
  <si>
    <t>([PP_PREV.N.Age/Sex.T_1]-[PP_PREV.N.Age/Sex.R])%/%[PP_PREV.N.Age/Sex.R]</t>
  </si>
  <si>
    <t>([GEND_GBV.N.Age/Sex/ViolenceType.T_1]-[GEND_GBV.N.Age/Sex/ViolenceType.R])%/%[GEND_GBV.N.Age/Sex/ViolenceType.R]</t>
  </si>
  <si>
    <t>[VMMC_CIRC.N.Age/Sex/HIVStatus.R.Unknown]%/%[VMMC_CIRC.N.Age/Sex/HIVStatus.R]</t>
  </si>
  <si>
    <t>([OVC_SERV.N.Age/Sex/ProgramStatus.T_1]-[OVC_SERV.N.Age/Sex/ProgramStatus.R])%/%[OVC_SERV.N.Age/Sex/ProgramStatus.R]</t>
  </si>
  <si>
    <t>[OVC_SERV.N.Age/Sex/ProgramStatus.T_1]</t>
  </si>
  <si>
    <t>[TX_TB.D.Age/Sex/TBScreen/NewExistingART/HIVStatus.R.Life-long ART/New/TB Screen - Positive/Positive]%/%([TX_TB.D.Age/Sex/TBScreen/NewExistingART/HIVStatus.R.Life-long ART/New/TB Screen - Positive/Positive]+[TX_TB.D.Age/Sex/TBScreen/NewExistingART/HIVStatus.R.Life-long ART/New/TB Screen - Negative/Positive])</t>
  </si>
  <si>
    <t>[TX_TB.D.Age/Sex/TBScreen/NewExistingART/HIVStatus.R.Life-long ART/Already/TB Screen - Positive/Positive]%/%([TX_TB.D.Age/Sex/TBScreen/NewExistingART/HIVStatus.R.Life-long ART/Already/TB Screen - Positive/Positive]+[TX_TB.D.Age/Sex/TBScreen/NewExistingART/HIVStatus.R.Life-long ART/Already/TB Screen - Negative/Positive])</t>
  </si>
  <si>
    <t>[PMTCT_STAT.D.Age/Sex.T_1]</t>
  </si>
  <si>
    <t>[PMTCT_STAT.N.Age/Sex/KnownNewResult.R.Known_at_Entry_Positive]%/%[PMTCT_STAT.N.Age/Sex/KnownNewResult.R]</t>
  </si>
  <si>
    <t>[PMTCT_STAT.N.Age/Sex/KnownNewResult.R.Newly_Identified_Positive]%/%([PMTCT_STAT.N.Age/Sex/KnownNewResult.R.Newly_Identified_Positive]+[PMTCT_STAT.N.Age/Sex/KnownNewResult.R.Newly_Identified_Negative])</t>
  </si>
  <si>
    <t>[GEND_GBV.N.ViolenceServiceType.T_1.Sexual_Violence_Post_Rape_Care]</t>
  </si>
  <si>
    <t>[PrEP_NEW.N.KeyPop.T_1]</t>
  </si>
  <si>
    <t>[PrEP_CURR.N.KeyPop.T_1]</t>
  </si>
  <si>
    <t>[IMPATT.PRIORITY_SNU.T_1]</t>
  </si>
  <si>
    <t>([HTS_SELF (N, Age/Sex/HIVSelfTest).T_1] - [HTS_SELF (N, Age/Sex/HIVSelfTest).R]) / [HTS_SELF (N, Age/Sex/HIVSelfTest).R]</t>
  </si>
  <si>
    <t>TX_CURR.N.Age_Sex_HIVStatus.R</t>
  </si>
  <si>
    <t>VqlLJRUf0BK</t>
  </si>
  <si>
    <t>TX_CURR (DSD+TA, Age/Sex/HIVStatus)</t>
  </si>
  <si>
    <t>2019Q3</t>
  </si>
  <si>
    <t>&lt;1-50+.&lt;15/&gt;15.d.u</t>
  </si>
  <si>
    <t>TX_NEW.N.Age_Sex_HIVStatus.R</t>
  </si>
  <si>
    <t>TX_NEW (DSD+TA, Age/Sex/HIV Status)</t>
  </si>
  <si>
    <t>sPLZOoumW9X</t>
  </si>
  <si>
    <t>TX_NEW.N.Age_Sex_HIVStatus.T_1</t>
  </si>
  <si>
    <t>UDW0CSk6bHz</t>
  </si>
  <si>
    <t>TX_NEW (DSD+TA, Age/Sex/HIV Status) TARGET</t>
  </si>
  <si>
    <t>TB_STAT.N.Age_Sex_KnownNewPosNeg.T_1.NewPos</t>
  </si>
  <si>
    <t>TB_STAT (N, DSD+TA, Age/Sex/KnownNewPosNeg) TARGET</t>
  </si>
  <si>
    <t>iu2PV9NpeSd</t>
  </si>
  <si>
    <t>bQhs5uRiSni</t>
  </si>
  <si>
    <t>TB_PREV (N, DSD+TA, Age/TherapyType/NewExistingArt/HIVStatus) TARGET</t>
  </si>
  <si>
    <t>TB_PREV.N.Age_NewExistingArt_HIVStatus.T_1.New</t>
  </si>
  <si>
    <t>TB_PREV.N.Age_NewExistingArt_HIVStatus.T_1.Already</t>
  </si>
  <si>
    <t>TB_PREV (N, DSD+TA, Age/TherapyType/NewExistingArt/HIVStatus) TARGET New on art</t>
  </si>
  <si>
    <t>TB_PREV (N, DSD+TA, Age/TherapyType/NewExistingArt/HIVStatus) TARGET already on art</t>
  </si>
  <si>
    <t>ag</t>
  </si>
  <si>
    <t>PohP5DBPfMs</t>
  </si>
  <si>
    <t>Active</t>
  </si>
  <si>
    <t>q1ViBVu6waQ</t>
  </si>
  <si>
    <t>Graduated</t>
  </si>
  <si>
    <t>McLoJJs4bki</t>
  </si>
  <si>
    <t>Program Status v2</t>
  </si>
  <si>
    <t>ag_a</t>
  </si>
  <si>
    <t>ag_g</t>
  </si>
  <si>
    <t>HIV Positive (Specific)</t>
  </si>
  <si>
    <t>HIV Negative (Specific)</t>
  </si>
  <si>
    <t>HIV Status Unknown (Specific)</t>
  </si>
  <si>
    <t>awSDzziN3Dn</t>
  </si>
  <si>
    <t>EvyNJHbQ7ZE</t>
  </si>
  <si>
    <t>i4Fgst9vzF9</t>
  </si>
  <si>
    <t>tss_Pos</t>
  </si>
  <si>
    <t>tss_Neg</t>
  </si>
  <si>
    <t>tss_Unknown</t>
  </si>
  <si>
    <t>Unknown</t>
  </si>
  <si>
    <t>gUdtLH3fV1m</t>
  </si>
  <si>
    <t>&lt;1, Female, Routine, Positive</t>
  </si>
  <si>
    <t>YVmIiOo8V17</t>
  </si>
  <si>
    <t>&lt;1, Male, Routine, Positive</t>
  </si>
  <si>
    <t>vIZW4Jv7qqy</t>
  </si>
  <si>
    <t>1-4, Female, Routine, Positive</t>
  </si>
  <si>
    <t>HDhg4LTHBRa</t>
  </si>
  <si>
    <t>1-4, Male, Routine, Positive</t>
  </si>
  <si>
    <t>bQY52yJFcaj</t>
  </si>
  <si>
    <t>10-14, Female, Routine, Positive</t>
  </si>
  <si>
    <t>dpFsZrc6Ffc</t>
  </si>
  <si>
    <t>10-14, Male, Routine, Positive</t>
  </si>
  <si>
    <t>Cz8TfD9G4NS</t>
  </si>
  <si>
    <t>15-19, Female, Routine, Positive</t>
  </si>
  <si>
    <t>A30fQSASmum</t>
  </si>
  <si>
    <t>15-19, Male, Routine, Positive</t>
  </si>
  <si>
    <t>hX01YQ8Xd0A</t>
  </si>
  <si>
    <t>20-24, Female, Routine, Positive</t>
  </si>
  <si>
    <t>d7veFTMK1Jw</t>
  </si>
  <si>
    <t>20-24, Male, Routine, Positive</t>
  </si>
  <si>
    <t>Slv7vEZKRXb</t>
  </si>
  <si>
    <t>25-29, Female, Routine, Positive</t>
  </si>
  <si>
    <t>I0zEWK2C11q</t>
  </si>
  <si>
    <t>25-29, Male, Routine, Positive</t>
  </si>
  <si>
    <t>X3iUwZMRbpC</t>
  </si>
  <si>
    <t>30-34, Female, Routine, Positive</t>
  </si>
  <si>
    <t>RKp8rxNgQAX</t>
  </si>
  <si>
    <t>30-34, Male, Routine, Positive</t>
  </si>
  <si>
    <t>ABHnQuSJzZJ</t>
  </si>
  <si>
    <t>35-39, Female, Routine, Positive</t>
  </si>
  <si>
    <t>MRnYv4nt5gc</t>
  </si>
  <si>
    <t>35-39, Male, Routine, Positive</t>
  </si>
  <si>
    <t>PRsdy4olkFE</t>
  </si>
  <si>
    <t>40-44, Female, Routine, Positive</t>
  </si>
  <si>
    <t>wOxLLZhNrPi</t>
  </si>
  <si>
    <t>40-44, Male, Routine, Positive</t>
  </si>
  <si>
    <t>TcbPwuDGR7C</t>
  </si>
  <si>
    <t>45-49, Female, Routine, Positive</t>
  </si>
  <si>
    <t>ONQ9uSvOkGB</t>
  </si>
  <si>
    <t>45-49, Male, Routine, Positive</t>
  </si>
  <si>
    <t>Ba3F9Cdo4TM</t>
  </si>
  <si>
    <t>5-9, Female, Routine, Positive</t>
  </si>
  <si>
    <t>rAvlLbG5dAb</t>
  </si>
  <si>
    <t>5-9, Male, Routine, Positive</t>
  </si>
  <si>
    <t>sjBprG9Atqw</t>
  </si>
  <si>
    <t>50+, Female, Routine, Positive</t>
  </si>
  <si>
    <t>U9R0CAPL0AS</t>
  </si>
  <si>
    <t>50+, Male, Routine, Positive</t>
  </si>
  <si>
    <t>hrDvHLgNfrf</t>
  </si>
  <si>
    <t>&lt;1, Female, Routine, Positive</t>
  </si>
  <si>
    <t>1-4, Female, Routine, Positive</t>
  </si>
  <si>
    <t>1-4, Male, Routine, Positive</t>
  </si>
  <si>
    <t>15-19, Female, Routine, Positive</t>
  </si>
  <si>
    <t>15-19, Male, Routine, Positive</t>
  </si>
  <si>
    <t>&lt;1, Male, Routine, Positive</t>
  </si>
  <si>
    <t>20-24, Female, Routine, Positive</t>
  </si>
  <si>
    <t>20-24, Male, Routine, Positive</t>
  </si>
  <si>
    <t>25-29, Female, Routine, Positive</t>
  </si>
  <si>
    <t>25-29, Male, Routine, Positive</t>
  </si>
  <si>
    <t>30-34, Female, Routine, Positive</t>
  </si>
  <si>
    <t>30-34, Male, Routine, Positive</t>
  </si>
  <si>
    <t>35-39, Female, Routine, Positive</t>
  </si>
  <si>
    <t>35-39, Male, Routine, Positive</t>
  </si>
  <si>
    <t>40-44, Female, Routine, Positive</t>
  </si>
  <si>
    <t>40-44, Male, Routine, Positive</t>
  </si>
  <si>
    <t>45-49, Female, Routine, Positive</t>
  </si>
  <si>
    <t>45-49, Male, Routine, Positive</t>
  </si>
  <si>
    <t>50+, Female, Routine, Positive</t>
  </si>
  <si>
    <t>50+, Male, Routine, Positive</t>
  </si>
  <si>
    <t>5-9, Female, Routine, Positive</t>
  </si>
  <si>
    <t>5-9, Male, Routine, Positive</t>
  </si>
  <si>
    <t>10-14, Female, Routine, Positive</t>
  </si>
  <si>
    <t>10-14, Male, Routine, Positive</t>
  </si>
  <si>
    <t>&lt;15, Female, TB Screen - Negative, Life-long ART, Already, Positive</t>
  </si>
  <si>
    <t>yxdKq1ZC8fS</t>
  </si>
  <si>
    <t>15+, Female, TB Screen - Negative, Life-long ART, Already, Positive</t>
  </si>
  <si>
    <t>DFLZuSpRYKv</t>
  </si>
  <si>
    <t>&lt;15, Female, TB Screen - Negative, Life-long ART, New, Positive</t>
  </si>
  <si>
    <t>KcI8l7j9oeX</t>
  </si>
  <si>
    <t>15+, Female, TB Screen - Negative, Life-long ART, New, Positive</t>
  </si>
  <si>
    <t>kCzjNAGH5GY</t>
  </si>
  <si>
    <t>&lt;15, Female, TB Screen - Positive, Life-long ART, Already, Positive</t>
  </si>
  <si>
    <t>qBj9XLbUigZ</t>
  </si>
  <si>
    <t>15+, Female, TB Screen - Positive, Life-long ART, Already, Positive</t>
  </si>
  <si>
    <t>vsVKGzHxDua</t>
  </si>
  <si>
    <t>&lt;15, Female, TB Screen - Positive, Life-long ART, New, Positive</t>
  </si>
  <si>
    <t>qEv2Oi1bHsp</t>
  </si>
  <si>
    <t>15+, Female, TB Screen - Positive, Life-long ART, New, Positive</t>
  </si>
  <si>
    <t>BpjQgbuhZoo</t>
  </si>
  <si>
    <t>&lt;15, Male, TB Screen - Negative, Life-long ART, Already, Positive</t>
  </si>
  <si>
    <t>NrvW7I8iYbo</t>
  </si>
  <si>
    <t>15+, Male, TB Screen - Negative, Life-long ART, Already, Positive</t>
  </si>
  <si>
    <t>u53iyNLwf4u</t>
  </si>
  <si>
    <t>&lt;15, Male, TB Screen - Negative, Life-long ART, New, Positive</t>
  </si>
  <si>
    <t>JURc3Uxzcr9</t>
  </si>
  <si>
    <t>15+, Male, TB Screen - Negative, Life-long ART, New, Positive</t>
  </si>
  <si>
    <t>rktDV3ZuQjl</t>
  </si>
  <si>
    <t>&lt;15, Male, TB Screen - Positive, Life-long ART, Already, Positive</t>
  </si>
  <si>
    <t>VyeN2c8Zdi4</t>
  </si>
  <si>
    <t>15+, Male, TB Screen - Positive, Life-long ART, Already, Positive</t>
  </si>
  <si>
    <t>SZ3D287on4h</t>
  </si>
  <si>
    <t>&lt;15, Male, TB Screen - Positive, Life-long ART, New, Positive</t>
  </si>
  <si>
    <t>zpOXupkpl7i</t>
  </si>
  <si>
    <t>15+, Male, TB Screen - Positive, Life-long ART, New, Positive</t>
  </si>
  <si>
    <t>Y9GhVNf8jUd</t>
  </si>
  <si>
    <t>tb_art</t>
  </si>
  <si>
    <t>tb_n_art_a</t>
  </si>
  <si>
    <t>tb_n_art_n</t>
  </si>
  <si>
    <t>tb_p_art_a</t>
  </si>
  <si>
    <t>tb_p_art_n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</si>
</sst>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2"/>
      <color theme="1"/>
      <name val="Calibri"/>
      <family val="2"/>
      <scheme val="minor"/>
    </font>
    <font>
      <sz val="14"/>
      <color rgb="FF333333"/>
      <name val="Arial"/>
      <family val="2"/>
    </font>
    <font>
      <sz val="12"/>
      <color rgb="FF000000"/>
      <name val="Calibri"/>
      <family val="2"/>
      <scheme val="minor"/>
    </font>
    <font>
      <sz val="13"/>
      <color rgb="FF1A1AA6"/>
      <name val="Courier New"/>
      <family val="1"/>
    </font>
    <font>
      <sz val="8"/>
      <name val="Calibri"/>
      <family val="2"/>
      <scheme val="minor"/>
    </font>
    <font>
      <sz val="11"/>
      <color rgb="FF000000"/>
      <name val="Lucida Grande"/>
      <family val="2"/>
    </font>
    <font>
      <sz val="12"/>
      <color rgb="FF24292E"/>
      <name val="Consolas"/>
      <family val="2"/>
    </font>
    <font>
      <sz val="14"/>
      <color rgb="FF24292E"/>
      <name val="Helvetica"/>
      <family val="2"/>
    </font>
    <font>
      <sz val="11"/>
      <color rgb="FF000000"/>
      <name val="Helvetica Neue"/>
      <family val="2"/>
    </font>
    <font>
      <sz val="16"/>
      <color theme="1"/>
      <name val="Arial"/>
      <family val="2"/>
    </font>
    <font>
      <sz val="11"/>
      <color theme="1"/>
      <name val="Lucida Grande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quotePrefix="1"/>
    <xf numFmtId="16" fontId="0" fillId="0" borderId="0" xfId="0" quotePrefix="1" applyNumberFormat="1"/>
    <xf numFmtId="2" fontId="0" fillId="0" borderId="0" xfId="0" applyNumberFormat="1"/>
    <xf numFmtId="2" fontId="2" fillId="0" borderId="0" xfId="0" applyNumberFormat="1" applyFont="1"/>
    <xf numFmtId="0" fontId="0" fillId="0" borderId="0" xfId="0" quotePrefix="1" applyNumberFormat="1"/>
    <xf numFmtId="0" fontId="0" fillId="0" borderId="0" xfId="0" applyNumberFormat="1"/>
    <xf numFmtId="0" fontId="1" fillId="0" borderId="0" xfId="0" applyNumberFormat="1" applyFont="1"/>
    <xf numFmtId="0" fontId="0" fillId="0" borderId="0" xfId="0" applyAlignment="1">
      <alignment horizontal="left"/>
    </xf>
    <xf numFmtId="0" fontId="0" fillId="0" borderId="0" xfId="0" applyFill="1"/>
    <xf numFmtId="0" fontId="3" fillId="0" borderId="0" xfId="0" applyFont="1"/>
    <xf numFmtId="164" fontId="0" fillId="0" borderId="0" xfId="0" applyNumberFormat="1"/>
    <xf numFmtId="164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E70E-6A90-034D-92D2-04FEFE90502B}">
  <dimension ref="A1:AK68"/>
  <sheetViews>
    <sheetView zoomScale="120" zoomScaleNormal="120" workbookViewId="0">
      <pane xSplit="2" ySplit="1" topLeftCell="AB45" activePane="bottomRight" state="frozen"/>
      <selection pane="topRight" activeCell="C1" sqref="C1"/>
      <selection pane="bottomLeft" activeCell="A2" sqref="A2"/>
      <selection pane="bottomRight" activeCell="A67" sqref="A67:XFD70"/>
    </sheetView>
  </sheetViews>
  <sheetFormatPr baseColWidth="10" defaultRowHeight="16" x14ac:dyDescent="0.2"/>
  <cols>
    <col min="1" max="1" width="16.5" bestFit="1" customWidth="1"/>
    <col min="2" max="2" width="61" bestFit="1" customWidth="1"/>
    <col min="3" max="3" width="8.1640625" customWidth="1"/>
    <col min="4" max="4" width="255.83203125" bestFit="1" customWidth="1"/>
    <col min="5" max="5" width="15.6640625" customWidth="1"/>
    <col min="6" max="6" width="17.33203125" customWidth="1"/>
    <col min="7" max="8" width="68.33203125" customWidth="1"/>
    <col min="9" max="9" width="22.83203125" customWidth="1"/>
    <col min="10" max="20" width="17.33203125" customWidth="1"/>
    <col min="21" max="21" width="46.83203125" bestFit="1" customWidth="1"/>
    <col min="22" max="22" width="46.83203125" customWidth="1"/>
    <col min="23" max="23" width="16" bestFit="1" customWidth="1"/>
    <col min="25" max="25" width="17.33203125" bestFit="1" customWidth="1"/>
    <col min="28" max="28" width="17.1640625" bestFit="1" customWidth="1"/>
  </cols>
  <sheetData>
    <row r="1" spans="1:37" x14ac:dyDescent="0.2">
      <c r="A1" t="s">
        <v>157</v>
      </c>
      <c r="B1" t="s">
        <v>156</v>
      </c>
      <c r="C1" t="s">
        <v>59</v>
      </c>
      <c r="D1" t="s">
        <v>60</v>
      </c>
      <c r="E1" t="s">
        <v>158</v>
      </c>
      <c r="F1" t="s">
        <v>225</v>
      </c>
      <c r="G1" t="s">
        <v>420</v>
      </c>
      <c r="H1" t="s">
        <v>527</v>
      </c>
      <c r="I1" t="s">
        <v>223</v>
      </c>
      <c r="J1" t="s">
        <v>163</v>
      </c>
      <c r="K1" t="s">
        <v>164</v>
      </c>
      <c r="L1" t="s">
        <v>165</v>
      </c>
      <c r="M1" t="s">
        <v>166</v>
      </c>
      <c r="N1" t="s">
        <v>434</v>
      </c>
      <c r="O1" t="s">
        <v>422</v>
      </c>
      <c r="P1" t="s">
        <v>423</v>
      </c>
      <c r="Q1" t="s">
        <v>424</v>
      </c>
      <c r="R1" t="s">
        <v>425</v>
      </c>
      <c r="S1" t="s">
        <v>426</v>
      </c>
      <c r="T1" t="s">
        <v>427</v>
      </c>
      <c r="U1" t="s">
        <v>162</v>
      </c>
      <c r="V1" t="s">
        <v>554</v>
      </c>
      <c r="W1" t="s">
        <v>224</v>
      </c>
      <c r="X1" t="s">
        <v>159</v>
      </c>
      <c r="Y1" t="s">
        <v>160</v>
      </c>
      <c r="Z1" t="s">
        <v>161</v>
      </c>
      <c r="AA1" t="s">
        <v>421</v>
      </c>
      <c r="AB1" t="s">
        <v>435</v>
      </c>
      <c r="AC1" t="s">
        <v>428</v>
      </c>
      <c r="AD1" t="s">
        <v>429</v>
      </c>
      <c r="AE1" t="s">
        <v>430</v>
      </c>
      <c r="AF1" t="s">
        <v>431</v>
      </c>
      <c r="AG1" t="s">
        <v>432</v>
      </c>
      <c r="AH1" t="s">
        <v>433</v>
      </c>
      <c r="AI1" t="s">
        <v>146</v>
      </c>
      <c r="AJ1" t="s">
        <v>455</v>
      </c>
      <c r="AK1" t="s">
        <v>456</v>
      </c>
    </row>
    <row r="2" spans="1:37" x14ac:dyDescent="0.2">
      <c r="A2" t="s">
        <v>0</v>
      </c>
      <c r="B2" t="s">
        <v>581</v>
      </c>
      <c r="C2" t="s">
        <v>2</v>
      </c>
      <c r="D2" t="s">
        <v>645</v>
      </c>
      <c r="E2" t="s">
        <v>3</v>
      </c>
      <c r="F2" t="s">
        <v>142</v>
      </c>
      <c r="G2" t="s">
        <v>1</v>
      </c>
      <c r="H2" t="s">
        <v>528</v>
      </c>
      <c r="I2" t="s">
        <v>61</v>
      </c>
      <c r="J2" t="s">
        <v>457</v>
      </c>
      <c r="K2" t="s">
        <v>140</v>
      </c>
      <c r="L2" t="s">
        <v>141</v>
      </c>
      <c r="M2" t="s">
        <v>143</v>
      </c>
      <c r="N2" t="s">
        <v>143</v>
      </c>
      <c r="O2" t="s">
        <v>143</v>
      </c>
      <c r="P2" t="s">
        <v>143</v>
      </c>
      <c r="Q2" t="s">
        <v>143</v>
      </c>
      <c r="R2" t="s">
        <v>143</v>
      </c>
      <c r="S2" t="s">
        <v>143</v>
      </c>
      <c r="T2" t="s">
        <v>143</v>
      </c>
      <c r="U2" t="s">
        <v>143</v>
      </c>
      <c r="V2" t="s">
        <v>143</v>
      </c>
      <c r="W2" t="s">
        <v>143</v>
      </c>
      <c r="X2" t="s">
        <v>143</v>
      </c>
      <c r="Y2" t="s">
        <v>143</v>
      </c>
      <c r="Z2" t="s">
        <v>143</v>
      </c>
      <c r="AA2" t="s">
        <v>143</v>
      </c>
      <c r="AB2" t="s">
        <v>143</v>
      </c>
      <c r="AC2" t="s">
        <v>143</v>
      </c>
      <c r="AD2" t="s">
        <v>143</v>
      </c>
      <c r="AE2" t="s">
        <v>143</v>
      </c>
      <c r="AF2" t="s">
        <v>143</v>
      </c>
      <c r="AG2" t="s">
        <v>143</v>
      </c>
      <c r="AH2" t="s">
        <v>143</v>
      </c>
      <c r="AI2" t="s">
        <v>143</v>
      </c>
      <c r="AJ2" t="s">
        <v>143</v>
      </c>
      <c r="AK2" t="s">
        <v>143</v>
      </c>
    </row>
    <row r="3" spans="1:37" x14ac:dyDescent="0.2">
      <c r="A3" t="s">
        <v>0</v>
      </c>
      <c r="B3" t="s">
        <v>4</v>
      </c>
      <c r="C3" t="s">
        <v>5</v>
      </c>
      <c r="D3" t="s">
        <v>646</v>
      </c>
      <c r="E3" t="s">
        <v>6</v>
      </c>
      <c r="F3" t="s">
        <v>144</v>
      </c>
      <c r="G3" t="s">
        <v>4</v>
      </c>
      <c r="H3" t="s">
        <v>529</v>
      </c>
      <c r="I3" t="s">
        <v>62</v>
      </c>
      <c r="J3" t="s">
        <v>139</v>
      </c>
      <c r="K3" t="s">
        <v>140</v>
      </c>
      <c r="L3" t="s">
        <v>141</v>
      </c>
      <c r="M3" t="s">
        <v>143</v>
      </c>
      <c r="N3" t="s">
        <v>143</v>
      </c>
      <c r="O3" t="s">
        <v>143</v>
      </c>
      <c r="P3" t="s">
        <v>143</v>
      </c>
      <c r="Q3" t="s">
        <v>143</v>
      </c>
      <c r="R3" t="s">
        <v>143</v>
      </c>
      <c r="S3" t="s">
        <v>143</v>
      </c>
      <c r="T3" t="s">
        <v>143</v>
      </c>
      <c r="U3" t="s">
        <v>143</v>
      </c>
      <c r="V3" t="s">
        <v>143</v>
      </c>
      <c r="W3" t="s">
        <v>143</v>
      </c>
      <c r="X3" t="s">
        <v>143</v>
      </c>
      <c r="Y3" t="s">
        <v>143</v>
      </c>
      <c r="Z3" t="s">
        <v>143</v>
      </c>
      <c r="AA3" t="s">
        <v>143</v>
      </c>
      <c r="AB3" t="s">
        <v>143</v>
      </c>
      <c r="AC3" t="s">
        <v>143</v>
      </c>
      <c r="AD3" t="s">
        <v>143</v>
      </c>
      <c r="AE3" t="s">
        <v>143</v>
      </c>
      <c r="AF3" t="s">
        <v>143</v>
      </c>
      <c r="AG3" t="s">
        <v>143</v>
      </c>
      <c r="AH3" t="s">
        <v>143</v>
      </c>
      <c r="AI3" t="s">
        <v>143</v>
      </c>
      <c r="AJ3" t="s">
        <v>143</v>
      </c>
      <c r="AK3" t="s">
        <v>143</v>
      </c>
    </row>
    <row r="4" spans="1:37" ht="18" x14ac:dyDescent="0.2">
      <c r="A4" t="s">
        <v>0</v>
      </c>
      <c r="B4" t="s">
        <v>7</v>
      </c>
      <c r="C4" t="s">
        <v>5</v>
      </c>
      <c r="D4" t="s">
        <v>647</v>
      </c>
      <c r="E4" t="s">
        <v>6</v>
      </c>
      <c r="F4" t="s">
        <v>144</v>
      </c>
      <c r="G4" t="s">
        <v>143</v>
      </c>
      <c r="H4" t="s">
        <v>530</v>
      </c>
      <c r="I4" s="1" t="s">
        <v>458</v>
      </c>
      <c r="J4" t="s">
        <v>139</v>
      </c>
      <c r="K4" t="s">
        <v>140</v>
      </c>
      <c r="L4" t="s">
        <v>141</v>
      </c>
      <c r="M4" t="s">
        <v>143</v>
      </c>
      <c r="N4" t="s">
        <v>512</v>
      </c>
      <c r="O4" t="s">
        <v>143</v>
      </c>
      <c r="P4" t="s">
        <v>143</v>
      </c>
      <c r="Q4" t="s">
        <v>143</v>
      </c>
      <c r="R4" t="s">
        <v>143</v>
      </c>
      <c r="S4" t="s">
        <v>143</v>
      </c>
      <c r="T4" t="s">
        <v>143</v>
      </c>
      <c r="U4" t="s">
        <v>143</v>
      </c>
      <c r="V4" t="s">
        <v>143</v>
      </c>
      <c r="W4" t="s">
        <v>143</v>
      </c>
      <c r="X4" t="s">
        <v>143</v>
      </c>
      <c r="Y4" t="s">
        <v>143</v>
      </c>
      <c r="Z4" t="s">
        <v>143</v>
      </c>
      <c r="AA4" t="s">
        <v>143</v>
      </c>
      <c r="AB4" t="s">
        <v>143</v>
      </c>
      <c r="AC4" t="s">
        <v>143</v>
      </c>
      <c r="AD4" t="s">
        <v>143</v>
      </c>
      <c r="AE4" t="s">
        <v>143</v>
      </c>
      <c r="AF4" t="s">
        <v>143</v>
      </c>
      <c r="AG4" t="s">
        <v>143</v>
      </c>
      <c r="AH4" t="s">
        <v>143</v>
      </c>
      <c r="AI4" t="s">
        <v>143</v>
      </c>
      <c r="AJ4" t="s">
        <v>143</v>
      </c>
      <c r="AK4" t="s">
        <v>143</v>
      </c>
    </row>
    <row r="5" spans="1:37" x14ac:dyDescent="0.2">
      <c r="A5" t="s">
        <v>8</v>
      </c>
      <c r="B5" t="s">
        <v>9</v>
      </c>
      <c r="C5" t="s">
        <v>5</v>
      </c>
      <c r="D5" t="s">
        <v>608</v>
      </c>
      <c r="E5" t="s">
        <v>6</v>
      </c>
      <c r="F5" t="s">
        <v>143</v>
      </c>
      <c r="G5" t="s">
        <v>9</v>
      </c>
      <c r="H5" t="s">
        <v>531</v>
      </c>
      <c r="I5" t="s">
        <v>63</v>
      </c>
      <c r="J5" t="s">
        <v>139</v>
      </c>
      <c r="K5" t="s">
        <v>143</v>
      </c>
      <c r="L5" t="s">
        <v>143</v>
      </c>
      <c r="M5" t="s">
        <v>143</v>
      </c>
      <c r="N5" t="s">
        <v>143</v>
      </c>
      <c r="O5" t="s">
        <v>143</v>
      </c>
      <c r="P5" t="s">
        <v>143</v>
      </c>
      <c r="Q5" t="s">
        <v>143</v>
      </c>
      <c r="R5" t="s">
        <v>143</v>
      </c>
      <c r="S5" t="s">
        <v>143</v>
      </c>
      <c r="T5" t="s">
        <v>143</v>
      </c>
      <c r="U5" t="s">
        <v>143</v>
      </c>
      <c r="V5" t="s">
        <v>143</v>
      </c>
      <c r="W5" t="s">
        <v>143</v>
      </c>
      <c r="X5" t="s">
        <v>143</v>
      </c>
      <c r="Y5" t="s">
        <v>143</v>
      </c>
      <c r="Z5" t="s">
        <v>143</v>
      </c>
      <c r="AA5" t="s">
        <v>143</v>
      </c>
      <c r="AB5" t="s">
        <v>143</v>
      </c>
      <c r="AC5" t="s">
        <v>143</v>
      </c>
      <c r="AD5" t="s">
        <v>143</v>
      </c>
      <c r="AE5" t="s">
        <v>143</v>
      </c>
      <c r="AF5" t="s">
        <v>143</v>
      </c>
      <c r="AG5" t="s">
        <v>143</v>
      </c>
      <c r="AH5" t="s">
        <v>143</v>
      </c>
      <c r="AI5" t="s">
        <v>143</v>
      </c>
      <c r="AJ5" t="s">
        <v>143</v>
      </c>
      <c r="AK5" t="s">
        <v>143</v>
      </c>
    </row>
    <row r="6" spans="1:37" x14ac:dyDescent="0.2">
      <c r="A6" t="s">
        <v>8</v>
      </c>
      <c r="B6" t="s">
        <v>10</v>
      </c>
      <c r="C6" t="s">
        <v>5</v>
      </c>
      <c r="D6" t="s">
        <v>609</v>
      </c>
      <c r="E6" t="s">
        <v>6</v>
      </c>
      <c r="F6" t="s">
        <v>143</v>
      </c>
      <c r="G6" t="s">
        <v>10</v>
      </c>
      <c r="H6" t="s">
        <v>532</v>
      </c>
      <c r="I6" t="s">
        <v>64</v>
      </c>
      <c r="J6" t="s">
        <v>139</v>
      </c>
      <c r="K6" t="s">
        <v>143</v>
      </c>
      <c r="L6" t="s">
        <v>143</v>
      </c>
      <c r="M6" t="s">
        <v>143</v>
      </c>
      <c r="N6" t="s">
        <v>143</v>
      </c>
      <c r="O6" t="s">
        <v>143</v>
      </c>
      <c r="P6" t="s">
        <v>143</v>
      </c>
      <c r="Q6" t="s">
        <v>143</v>
      </c>
      <c r="R6" t="s">
        <v>143</v>
      </c>
      <c r="S6" t="s">
        <v>143</v>
      </c>
      <c r="T6" t="s">
        <v>143</v>
      </c>
      <c r="U6" t="s">
        <v>143</v>
      </c>
      <c r="V6" t="s">
        <v>143</v>
      </c>
      <c r="W6" t="s">
        <v>143</v>
      </c>
      <c r="X6" t="s">
        <v>143</v>
      </c>
      <c r="Y6" t="s">
        <v>143</v>
      </c>
      <c r="Z6" t="s">
        <v>143</v>
      </c>
      <c r="AA6" t="s">
        <v>143</v>
      </c>
      <c r="AB6" t="s">
        <v>143</v>
      </c>
      <c r="AC6" t="s">
        <v>143</v>
      </c>
      <c r="AD6" t="s">
        <v>143</v>
      </c>
      <c r="AE6" t="s">
        <v>143</v>
      </c>
      <c r="AF6" t="s">
        <v>143</v>
      </c>
      <c r="AG6" t="s">
        <v>143</v>
      </c>
      <c r="AH6" t="s">
        <v>143</v>
      </c>
      <c r="AI6" t="s">
        <v>143</v>
      </c>
      <c r="AJ6" t="s">
        <v>143</v>
      </c>
      <c r="AK6" t="s">
        <v>143</v>
      </c>
    </row>
    <row r="7" spans="1:37" x14ac:dyDescent="0.2">
      <c r="A7" t="s">
        <v>11</v>
      </c>
      <c r="B7" t="s">
        <v>582</v>
      </c>
      <c r="C7" t="s">
        <v>2</v>
      </c>
      <c r="D7" t="s">
        <v>596</v>
      </c>
      <c r="E7" t="s">
        <v>3</v>
      </c>
      <c r="F7" t="s">
        <v>142</v>
      </c>
      <c r="G7" t="s">
        <v>12</v>
      </c>
      <c r="H7" t="s">
        <v>533</v>
      </c>
      <c r="I7" t="s">
        <v>65</v>
      </c>
      <c r="J7" t="s">
        <v>457</v>
      </c>
      <c r="K7" t="s">
        <v>149</v>
      </c>
      <c r="L7" t="s">
        <v>145</v>
      </c>
      <c r="M7" t="s">
        <v>143</v>
      </c>
      <c r="N7" t="s">
        <v>143</v>
      </c>
      <c r="O7" t="s">
        <v>143</v>
      </c>
      <c r="P7" t="s">
        <v>143</v>
      </c>
      <c r="Q7" t="s">
        <v>143</v>
      </c>
      <c r="R7" t="s">
        <v>143</v>
      </c>
      <c r="S7" t="s">
        <v>143</v>
      </c>
      <c r="T7" t="s">
        <v>143</v>
      </c>
      <c r="U7" t="s">
        <v>143</v>
      </c>
      <c r="V7" t="s">
        <v>143</v>
      </c>
      <c r="W7" t="s">
        <v>143</v>
      </c>
      <c r="X7" t="s">
        <v>143</v>
      </c>
      <c r="Y7" t="s">
        <v>143</v>
      </c>
      <c r="Z7" t="s">
        <v>143</v>
      </c>
      <c r="AA7" t="s">
        <v>143</v>
      </c>
      <c r="AB7" t="s">
        <v>143</v>
      </c>
      <c r="AC7" t="s">
        <v>143</v>
      </c>
      <c r="AD7" t="s">
        <v>143</v>
      </c>
      <c r="AE7" t="s">
        <v>143</v>
      </c>
      <c r="AF7" t="s">
        <v>143</v>
      </c>
      <c r="AG7" t="s">
        <v>143</v>
      </c>
      <c r="AH7" t="s">
        <v>143</v>
      </c>
      <c r="AI7" t="s">
        <v>143</v>
      </c>
      <c r="AJ7" t="s">
        <v>143</v>
      </c>
      <c r="AK7" t="s">
        <v>143</v>
      </c>
    </row>
    <row r="8" spans="1:37" x14ac:dyDescent="0.2">
      <c r="A8" t="s">
        <v>11</v>
      </c>
      <c r="B8" t="s">
        <v>13</v>
      </c>
      <c r="C8" t="s">
        <v>5</v>
      </c>
      <c r="D8" t="s">
        <v>610</v>
      </c>
      <c r="E8" t="s">
        <v>6</v>
      </c>
      <c r="F8" t="s">
        <v>142</v>
      </c>
      <c r="G8" t="s">
        <v>12</v>
      </c>
      <c r="H8" t="s">
        <v>533</v>
      </c>
      <c r="I8" t="s">
        <v>65</v>
      </c>
      <c r="J8" t="s">
        <v>457</v>
      </c>
      <c r="K8" t="s">
        <v>149</v>
      </c>
      <c r="L8" t="s">
        <v>145</v>
      </c>
      <c r="M8" t="s">
        <v>143</v>
      </c>
      <c r="N8" t="s">
        <v>143</v>
      </c>
      <c r="O8" t="s">
        <v>143</v>
      </c>
      <c r="P8" t="s">
        <v>143</v>
      </c>
      <c r="Q8" t="s">
        <v>143</v>
      </c>
      <c r="R8" t="s">
        <v>143</v>
      </c>
      <c r="S8" t="s">
        <v>143</v>
      </c>
      <c r="T8" t="s">
        <v>143</v>
      </c>
      <c r="U8" t="s">
        <v>66</v>
      </c>
      <c r="V8" t="s">
        <v>555</v>
      </c>
      <c r="W8" t="s">
        <v>67</v>
      </c>
      <c r="X8" t="s">
        <v>139</v>
      </c>
      <c r="Y8" t="s">
        <v>149</v>
      </c>
      <c r="Z8" t="s">
        <v>145</v>
      </c>
      <c r="AA8" t="s">
        <v>143</v>
      </c>
      <c r="AB8" t="s">
        <v>143</v>
      </c>
      <c r="AC8" t="s">
        <v>143</v>
      </c>
      <c r="AD8" t="s">
        <v>143</v>
      </c>
      <c r="AE8" t="s">
        <v>143</v>
      </c>
      <c r="AF8" t="s">
        <v>143</v>
      </c>
      <c r="AG8" t="s">
        <v>143</v>
      </c>
      <c r="AH8" t="s">
        <v>143</v>
      </c>
      <c r="AI8" t="s">
        <v>147</v>
      </c>
      <c r="AJ8" t="s">
        <v>143</v>
      </c>
      <c r="AK8" t="s">
        <v>143</v>
      </c>
    </row>
    <row r="9" spans="1:37" x14ac:dyDescent="0.2">
      <c r="A9" t="s">
        <v>11</v>
      </c>
      <c r="B9" t="s">
        <v>14</v>
      </c>
      <c r="C9" t="s">
        <v>5</v>
      </c>
      <c r="D9" t="s">
        <v>611</v>
      </c>
      <c r="E9" t="s">
        <v>6</v>
      </c>
      <c r="F9" t="s">
        <v>144</v>
      </c>
      <c r="G9" t="s">
        <v>14</v>
      </c>
      <c r="H9" t="s">
        <v>534</v>
      </c>
      <c r="I9" t="s">
        <v>68</v>
      </c>
      <c r="J9" t="s">
        <v>139</v>
      </c>
      <c r="K9" t="s">
        <v>149</v>
      </c>
      <c r="L9" t="s">
        <v>145</v>
      </c>
      <c r="M9" t="s">
        <v>143</v>
      </c>
      <c r="N9" t="s">
        <v>143</v>
      </c>
      <c r="O9" t="s">
        <v>143</v>
      </c>
      <c r="P9" t="s">
        <v>143</v>
      </c>
      <c r="Q9" t="s">
        <v>143</v>
      </c>
      <c r="R9" t="s">
        <v>143</v>
      </c>
      <c r="S9" t="s">
        <v>143</v>
      </c>
      <c r="T9" t="s">
        <v>143</v>
      </c>
      <c r="U9" t="s">
        <v>143</v>
      </c>
      <c r="V9" t="s">
        <v>143</v>
      </c>
      <c r="W9" t="s">
        <v>143</v>
      </c>
      <c r="X9" t="s">
        <v>143</v>
      </c>
      <c r="Y9" t="s">
        <v>143</v>
      </c>
      <c r="Z9" t="s">
        <v>143</v>
      </c>
      <c r="AA9" t="s">
        <v>143</v>
      </c>
      <c r="AB9" t="s">
        <v>143</v>
      </c>
      <c r="AC9" t="s">
        <v>143</v>
      </c>
      <c r="AD9" t="s">
        <v>143</v>
      </c>
      <c r="AE9" t="s">
        <v>143</v>
      </c>
      <c r="AF9" t="s">
        <v>143</v>
      </c>
      <c r="AG9" t="s">
        <v>143</v>
      </c>
      <c r="AH9" t="s">
        <v>143</v>
      </c>
      <c r="AI9" t="s">
        <v>143</v>
      </c>
      <c r="AJ9" t="s">
        <v>143</v>
      </c>
      <c r="AK9" t="s">
        <v>143</v>
      </c>
    </row>
    <row r="10" spans="1:37" ht="18" x14ac:dyDescent="0.2">
      <c r="A10" t="s">
        <v>11</v>
      </c>
      <c r="B10" t="s">
        <v>15</v>
      </c>
      <c r="C10" t="s">
        <v>5</v>
      </c>
      <c r="D10" t="s">
        <v>612</v>
      </c>
      <c r="E10" t="s">
        <v>6</v>
      </c>
      <c r="F10" t="s">
        <v>144</v>
      </c>
      <c r="G10" t="s">
        <v>143</v>
      </c>
      <c r="H10" t="s">
        <v>530</v>
      </c>
      <c r="I10" s="1" t="s">
        <v>458</v>
      </c>
      <c r="J10" t="s">
        <v>139</v>
      </c>
      <c r="K10" t="s">
        <v>149</v>
      </c>
      <c r="L10" t="s">
        <v>145</v>
      </c>
      <c r="M10" t="s">
        <v>143</v>
      </c>
      <c r="N10" t="s">
        <v>515</v>
      </c>
      <c r="O10" t="s">
        <v>143</v>
      </c>
      <c r="P10" t="s">
        <v>143</v>
      </c>
      <c r="Q10" t="s">
        <v>143</v>
      </c>
      <c r="R10" t="s">
        <v>143</v>
      </c>
      <c r="S10" t="s">
        <v>143</v>
      </c>
      <c r="T10" t="s">
        <v>143</v>
      </c>
      <c r="U10" t="s">
        <v>143</v>
      </c>
      <c r="V10" t="s">
        <v>143</v>
      </c>
      <c r="W10" t="s">
        <v>143</v>
      </c>
      <c r="X10" t="s">
        <v>143</v>
      </c>
      <c r="Y10" t="s">
        <v>143</v>
      </c>
      <c r="Z10" t="s">
        <v>143</v>
      </c>
      <c r="AA10" t="s">
        <v>143</v>
      </c>
      <c r="AB10" t="s">
        <v>143</v>
      </c>
      <c r="AC10" t="s">
        <v>143</v>
      </c>
      <c r="AD10" t="s">
        <v>143</v>
      </c>
      <c r="AE10" t="s">
        <v>143</v>
      </c>
      <c r="AF10" t="s">
        <v>143</v>
      </c>
      <c r="AG10" t="s">
        <v>143</v>
      </c>
      <c r="AH10" t="s">
        <v>143</v>
      </c>
      <c r="AI10" t="s">
        <v>143</v>
      </c>
      <c r="AJ10" t="s">
        <v>143</v>
      </c>
      <c r="AK10" t="s">
        <v>143</v>
      </c>
    </row>
    <row r="11" spans="1:37" x14ac:dyDescent="0.2">
      <c r="A11" t="s">
        <v>16</v>
      </c>
      <c r="B11" t="s">
        <v>583</v>
      </c>
      <c r="C11" t="s">
        <v>2</v>
      </c>
      <c r="D11" t="s">
        <v>597</v>
      </c>
      <c r="E11" t="s">
        <v>3</v>
      </c>
      <c r="F11" t="s">
        <v>142</v>
      </c>
      <c r="G11" t="s">
        <v>525</v>
      </c>
      <c r="H11" t="s">
        <v>535</v>
      </c>
      <c r="I11" t="s">
        <v>526</v>
      </c>
      <c r="J11" t="s">
        <v>457</v>
      </c>
      <c r="K11" t="s">
        <v>140</v>
      </c>
      <c r="L11" t="s">
        <v>148</v>
      </c>
      <c r="M11" t="s">
        <v>143</v>
      </c>
      <c r="N11" t="s">
        <v>143</v>
      </c>
      <c r="O11" t="s">
        <v>143</v>
      </c>
      <c r="P11" t="s">
        <v>143</v>
      </c>
      <c r="Q11" t="s">
        <v>143</v>
      </c>
      <c r="R11" t="s">
        <v>143</v>
      </c>
      <c r="S11" t="s">
        <v>143</v>
      </c>
      <c r="T11" t="s">
        <v>143</v>
      </c>
      <c r="U11" t="s">
        <v>143</v>
      </c>
      <c r="V11" t="s">
        <v>143</v>
      </c>
      <c r="W11" t="s">
        <v>143</v>
      </c>
      <c r="X11" t="s">
        <v>143</v>
      </c>
      <c r="Y11" t="s">
        <v>143</v>
      </c>
      <c r="Z11" t="s">
        <v>143</v>
      </c>
      <c r="AA11" t="s">
        <v>143</v>
      </c>
      <c r="AB11" t="s">
        <v>143</v>
      </c>
      <c r="AC11" t="s">
        <v>143</v>
      </c>
      <c r="AD11" t="s">
        <v>143</v>
      </c>
      <c r="AE11" t="s">
        <v>143</v>
      </c>
      <c r="AF11" t="s">
        <v>143</v>
      </c>
      <c r="AG11" t="s">
        <v>143</v>
      </c>
      <c r="AH11" t="s">
        <v>143</v>
      </c>
      <c r="AI11" t="s">
        <v>143</v>
      </c>
      <c r="AJ11" t="s">
        <v>143</v>
      </c>
      <c r="AK11" t="s">
        <v>143</v>
      </c>
    </row>
    <row r="12" spans="1:37" ht="18" x14ac:dyDescent="0.2">
      <c r="A12" t="s">
        <v>16</v>
      </c>
      <c r="B12" t="s">
        <v>17</v>
      </c>
      <c r="C12" t="s">
        <v>5</v>
      </c>
      <c r="D12" t="s">
        <v>613</v>
      </c>
      <c r="E12" t="s">
        <v>6</v>
      </c>
      <c r="F12" t="s">
        <v>144</v>
      </c>
      <c r="G12" t="s">
        <v>143</v>
      </c>
      <c r="H12" t="s">
        <v>530</v>
      </c>
      <c r="I12" s="1" t="s">
        <v>458</v>
      </c>
      <c r="J12" t="s">
        <v>139</v>
      </c>
      <c r="K12" t="s">
        <v>140</v>
      </c>
      <c r="L12" t="s">
        <v>148</v>
      </c>
      <c r="M12" t="s">
        <v>143</v>
      </c>
      <c r="N12" t="s">
        <v>511</v>
      </c>
      <c r="O12" t="s">
        <v>143</v>
      </c>
      <c r="P12" t="s">
        <v>143</v>
      </c>
      <c r="Q12" t="s">
        <v>143</v>
      </c>
      <c r="R12" t="s">
        <v>143</v>
      </c>
      <c r="S12" t="s">
        <v>143</v>
      </c>
      <c r="T12" t="s">
        <v>143</v>
      </c>
      <c r="U12" t="s">
        <v>143</v>
      </c>
      <c r="V12" t="s">
        <v>143</v>
      </c>
      <c r="W12" t="s">
        <v>143</v>
      </c>
      <c r="X12" t="s">
        <v>143</v>
      </c>
      <c r="Y12" t="s">
        <v>143</v>
      </c>
      <c r="Z12" t="s">
        <v>143</v>
      </c>
      <c r="AA12" t="s">
        <v>143</v>
      </c>
      <c r="AB12" t="s">
        <v>143</v>
      </c>
      <c r="AC12" t="s">
        <v>143</v>
      </c>
      <c r="AD12" t="s">
        <v>143</v>
      </c>
      <c r="AE12" t="s">
        <v>143</v>
      </c>
      <c r="AF12" t="s">
        <v>143</v>
      </c>
      <c r="AG12" t="s">
        <v>143</v>
      </c>
      <c r="AH12" t="s">
        <v>143</v>
      </c>
      <c r="AI12" t="s">
        <v>143</v>
      </c>
      <c r="AJ12" t="s">
        <v>143</v>
      </c>
      <c r="AK12" t="s">
        <v>143</v>
      </c>
    </row>
    <row r="13" spans="1:37" x14ac:dyDescent="0.2">
      <c r="A13" t="s">
        <v>16</v>
      </c>
      <c r="B13" t="s">
        <v>18</v>
      </c>
      <c r="C13" t="s">
        <v>5</v>
      </c>
      <c r="D13" t="s">
        <v>640</v>
      </c>
      <c r="E13" t="s">
        <v>6</v>
      </c>
      <c r="F13" t="s">
        <v>144</v>
      </c>
      <c r="G13" t="s">
        <v>460</v>
      </c>
      <c r="H13" t="s">
        <v>536</v>
      </c>
      <c r="I13" t="s">
        <v>461</v>
      </c>
      <c r="J13" t="s">
        <v>139</v>
      </c>
      <c r="K13" t="s">
        <v>140</v>
      </c>
      <c r="L13" t="s">
        <v>148</v>
      </c>
      <c r="M13" t="s">
        <v>143</v>
      </c>
      <c r="N13" t="s">
        <v>143</v>
      </c>
      <c r="O13" t="s">
        <v>143</v>
      </c>
      <c r="P13" t="s">
        <v>143</v>
      </c>
      <c r="Q13" t="s">
        <v>143</v>
      </c>
      <c r="R13" t="s">
        <v>143</v>
      </c>
      <c r="S13" t="s">
        <v>143</v>
      </c>
      <c r="T13" t="s">
        <v>143</v>
      </c>
      <c r="U13" t="s">
        <v>143</v>
      </c>
      <c r="V13" t="s">
        <v>143</v>
      </c>
      <c r="W13" t="s">
        <v>143</v>
      </c>
      <c r="X13" t="s">
        <v>143</v>
      </c>
      <c r="Y13" t="s">
        <v>143</v>
      </c>
      <c r="Z13" t="s">
        <v>143</v>
      </c>
      <c r="AA13" t="s">
        <v>143</v>
      </c>
      <c r="AB13" t="s">
        <v>143</v>
      </c>
      <c r="AC13" t="s">
        <v>143</v>
      </c>
      <c r="AD13" t="s">
        <v>143</v>
      </c>
      <c r="AE13" t="s">
        <v>143</v>
      </c>
      <c r="AF13" t="s">
        <v>143</v>
      </c>
      <c r="AG13" t="s">
        <v>143</v>
      </c>
      <c r="AH13" t="s">
        <v>143</v>
      </c>
      <c r="AI13" t="s">
        <v>143</v>
      </c>
      <c r="AJ13" t="s">
        <v>143</v>
      </c>
      <c r="AK13" t="s">
        <v>143</v>
      </c>
    </row>
    <row r="14" spans="1:37" x14ac:dyDescent="0.2">
      <c r="A14" t="s">
        <v>19</v>
      </c>
      <c r="B14" t="s">
        <v>584</v>
      </c>
      <c r="C14" t="s">
        <v>2</v>
      </c>
      <c r="D14" t="s">
        <v>598</v>
      </c>
      <c r="E14" t="s">
        <v>3</v>
      </c>
      <c r="F14" t="s">
        <v>142</v>
      </c>
      <c r="G14" t="s">
        <v>20</v>
      </c>
      <c r="H14" t="s">
        <v>537</v>
      </c>
      <c r="I14" t="s">
        <v>69</v>
      </c>
      <c r="J14" t="s">
        <v>457</v>
      </c>
      <c r="K14" t="s">
        <v>149</v>
      </c>
      <c r="L14" t="s">
        <v>145</v>
      </c>
      <c r="M14" t="s">
        <v>143</v>
      </c>
      <c r="N14" t="s">
        <v>143</v>
      </c>
      <c r="O14" t="s">
        <v>143</v>
      </c>
      <c r="P14" t="s">
        <v>143</v>
      </c>
      <c r="Q14" t="s">
        <v>143</v>
      </c>
      <c r="R14" t="s">
        <v>143</v>
      </c>
      <c r="S14" t="s">
        <v>143</v>
      </c>
      <c r="T14" t="s">
        <v>143</v>
      </c>
      <c r="U14" t="s">
        <v>143</v>
      </c>
      <c r="V14" t="s">
        <v>143</v>
      </c>
      <c r="W14" t="s">
        <v>143</v>
      </c>
      <c r="X14" t="s">
        <v>143</v>
      </c>
      <c r="Y14" t="s">
        <v>143</v>
      </c>
      <c r="Z14" t="s">
        <v>143</v>
      </c>
      <c r="AA14" t="s">
        <v>143</v>
      </c>
      <c r="AB14" t="s">
        <v>143</v>
      </c>
      <c r="AC14" t="s">
        <v>143</v>
      </c>
      <c r="AD14" t="s">
        <v>143</v>
      </c>
      <c r="AE14" t="s">
        <v>143</v>
      </c>
      <c r="AF14" t="s">
        <v>143</v>
      </c>
      <c r="AG14" t="s">
        <v>143</v>
      </c>
      <c r="AH14" t="s">
        <v>143</v>
      </c>
      <c r="AI14" t="s">
        <v>143</v>
      </c>
      <c r="AJ14" t="s">
        <v>143</v>
      </c>
      <c r="AK14" t="s">
        <v>143</v>
      </c>
    </row>
    <row r="15" spans="1:37" ht="18" x14ac:dyDescent="0.2">
      <c r="A15" t="s">
        <v>21</v>
      </c>
      <c r="B15" t="s">
        <v>234</v>
      </c>
      <c r="C15" t="s">
        <v>5</v>
      </c>
      <c r="D15" t="s">
        <v>614</v>
      </c>
      <c r="E15" t="s">
        <v>6</v>
      </c>
      <c r="F15" t="s">
        <v>144</v>
      </c>
      <c r="G15" t="s">
        <v>143</v>
      </c>
      <c r="H15" t="s">
        <v>530</v>
      </c>
      <c r="I15" s="1" t="s">
        <v>458</v>
      </c>
      <c r="J15" t="s">
        <v>139</v>
      </c>
      <c r="K15" t="s">
        <v>151</v>
      </c>
      <c r="L15" t="s">
        <v>145</v>
      </c>
      <c r="M15" t="s">
        <v>143</v>
      </c>
      <c r="N15" t="s">
        <v>439</v>
      </c>
      <c r="O15" t="s">
        <v>143</v>
      </c>
      <c r="P15" t="s">
        <v>143</v>
      </c>
      <c r="Q15" t="s">
        <v>143</v>
      </c>
      <c r="R15" t="s">
        <v>143</v>
      </c>
      <c r="S15" t="s">
        <v>143</v>
      </c>
      <c r="T15" t="s">
        <v>143</v>
      </c>
      <c r="U15" t="s">
        <v>143</v>
      </c>
      <c r="V15" t="s">
        <v>143</v>
      </c>
      <c r="W15" t="s">
        <v>143</v>
      </c>
      <c r="X15" t="s">
        <v>143</v>
      </c>
      <c r="Y15" t="s">
        <v>143</v>
      </c>
      <c r="Z15" t="s">
        <v>143</v>
      </c>
      <c r="AA15" t="s">
        <v>143</v>
      </c>
      <c r="AB15" t="s">
        <v>143</v>
      </c>
      <c r="AC15" t="s">
        <v>143</v>
      </c>
      <c r="AD15" t="s">
        <v>143</v>
      </c>
      <c r="AE15" t="s">
        <v>143</v>
      </c>
      <c r="AF15" t="s">
        <v>143</v>
      </c>
      <c r="AG15" t="s">
        <v>143</v>
      </c>
      <c r="AH15" t="s">
        <v>143</v>
      </c>
      <c r="AI15" t="s">
        <v>143</v>
      </c>
      <c r="AJ15" t="s">
        <v>143</v>
      </c>
      <c r="AK15" t="s">
        <v>143</v>
      </c>
    </row>
    <row r="16" spans="1:37" ht="18" x14ac:dyDescent="0.2">
      <c r="A16" t="s">
        <v>21</v>
      </c>
      <c r="B16" t="s">
        <v>235</v>
      </c>
      <c r="C16" t="s">
        <v>5</v>
      </c>
      <c r="D16" t="s">
        <v>614</v>
      </c>
      <c r="E16" t="s">
        <v>6</v>
      </c>
      <c r="F16" t="s">
        <v>144</v>
      </c>
      <c r="G16" t="s">
        <v>143</v>
      </c>
      <c r="H16" t="s">
        <v>530</v>
      </c>
      <c r="I16" s="1" t="s">
        <v>458</v>
      </c>
      <c r="J16" t="s">
        <v>139</v>
      </c>
      <c r="K16" t="s">
        <v>151</v>
      </c>
      <c r="L16" t="s">
        <v>145</v>
      </c>
      <c r="M16" t="s">
        <v>143</v>
      </c>
      <c r="N16" t="s">
        <v>440</v>
      </c>
      <c r="O16" t="s">
        <v>143</v>
      </c>
      <c r="P16" t="s">
        <v>143</v>
      </c>
      <c r="Q16" t="s">
        <v>143</v>
      </c>
      <c r="R16" t="s">
        <v>143</v>
      </c>
      <c r="S16" t="s">
        <v>143</v>
      </c>
      <c r="T16" t="s">
        <v>143</v>
      </c>
      <c r="U16" t="s">
        <v>143</v>
      </c>
      <c r="V16" t="s">
        <v>143</v>
      </c>
      <c r="W16" t="s">
        <v>143</v>
      </c>
      <c r="X16" t="s">
        <v>143</v>
      </c>
      <c r="Y16" t="s">
        <v>143</v>
      </c>
      <c r="Z16" t="s">
        <v>143</v>
      </c>
      <c r="AA16" t="s">
        <v>143</v>
      </c>
      <c r="AB16" t="s">
        <v>143</v>
      </c>
      <c r="AC16" t="s">
        <v>143</v>
      </c>
      <c r="AD16" t="s">
        <v>143</v>
      </c>
      <c r="AE16" t="s">
        <v>143</v>
      </c>
      <c r="AF16" t="s">
        <v>143</v>
      </c>
      <c r="AG16" t="s">
        <v>143</v>
      </c>
      <c r="AH16" t="s">
        <v>143</v>
      </c>
      <c r="AI16" t="s">
        <v>143</v>
      </c>
      <c r="AJ16" t="s">
        <v>143</v>
      </c>
      <c r="AK16" t="s">
        <v>143</v>
      </c>
    </row>
    <row r="17" spans="1:37" ht="18" x14ac:dyDescent="0.2">
      <c r="A17" t="s">
        <v>21</v>
      </c>
      <c r="B17" t="s">
        <v>236</v>
      </c>
      <c r="C17" t="s">
        <v>5</v>
      </c>
      <c r="D17" s="2" t="s">
        <v>615</v>
      </c>
      <c r="E17" t="s">
        <v>6</v>
      </c>
      <c r="F17" t="s">
        <v>142</v>
      </c>
      <c r="G17" t="s">
        <v>143</v>
      </c>
      <c r="H17" t="s">
        <v>538</v>
      </c>
      <c r="I17" s="1" t="s">
        <v>459</v>
      </c>
      <c r="J17" t="s">
        <v>139</v>
      </c>
      <c r="K17" t="s">
        <v>151</v>
      </c>
      <c r="L17" t="s">
        <v>145</v>
      </c>
      <c r="M17" t="s">
        <v>143</v>
      </c>
      <c r="N17" t="s">
        <v>439</v>
      </c>
      <c r="O17" t="s">
        <v>143</v>
      </c>
      <c r="P17" t="s">
        <v>143</v>
      </c>
      <c r="Q17" t="s">
        <v>143</v>
      </c>
      <c r="R17" t="s">
        <v>143</v>
      </c>
      <c r="S17" t="s">
        <v>143</v>
      </c>
      <c r="T17" t="s">
        <v>143</v>
      </c>
      <c r="U17" t="s">
        <v>143</v>
      </c>
      <c r="V17" t="s">
        <v>538</v>
      </c>
      <c r="W17" s="1" t="s">
        <v>459</v>
      </c>
      <c r="X17" t="s">
        <v>139</v>
      </c>
      <c r="Y17" t="s">
        <v>151</v>
      </c>
      <c r="Z17" t="s">
        <v>145</v>
      </c>
      <c r="AA17" t="s">
        <v>143</v>
      </c>
      <c r="AB17" t="s">
        <v>440</v>
      </c>
      <c r="AC17" t="s">
        <v>143</v>
      </c>
      <c r="AD17" t="s">
        <v>143</v>
      </c>
      <c r="AE17" t="s">
        <v>143</v>
      </c>
      <c r="AF17" t="s">
        <v>143</v>
      </c>
      <c r="AG17" t="s">
        <v>143</v>
      </c>
      <c r="AH17" t="s">
        <v>143</v>
      </c>
      <c r="AI17" t="s">
        <v>237</v>
      </c>
      <c r="AJ17">
        <v>0</v>
      </c>
      <c r="AK17">
        <v>0</v>
      </c>
    </row>
    <row r="18" spans="1:37" ht="18" x14ac:dyDescent="0.2">
      <c r="A18" t="s">
        <v>21</v>
      </c>
      <c r="B18" t="s">
        <v>22</v>
      </c>
      <c r="C18" t="s">
        <v>5</v>
      </c>
      <c r="D18" t="s">
        <v>616</v>
      </c>
      <c r="E18" t="s">
        <v>6</v>
      </c>
      <c r="F18" t="s">
        <v>142</v>
      </c>
      <c r="G18" t="s">
        <v>143</v>
      </c>
      <c r="H18" t="s">
        <v>538</v>
      </c>
      <c r="I18" s="1" t="s">
        <v>459</v>
      </c>
      <c r="J18" t="s">
        <v>139</v>
      </c>
      <c r="K18" t="s">
        <v>151</v>
      </c>
      <c r="L18" t="s">
        <v>145</v>
      </c>
      <c r="M18" t="s">
        <v>143</v>
      </c>
      <c r="N18" t="s">
        <v>438</v>
      </c>
      <c r="O18" t="s">
        <v>143</v>
      </c>
      <c r="P18" t="s">
        <v>143</v>
      </c>
      <c r="Q18" t="s">
        <v>143</v>
      </c>
      <c r="R18" t="s">
        <v>143</v>
      </c>
      <c r="S18" t="s">
        <v>143</v>
      </c>
      <c r="T18" t="s">
        <v>143</v>
      </c>
      <c r="U18" t="s">
        <v>143</v>
      </c>
      <c r="V18" t="s">
        <v>538</v>
      </c>
      <c r="W18" s="1" t="s">
        <v>459</v>
      </c>
      <c r="X18" t="s">
        <v>139</v>
      </c>
      <c r="Y18" s="9" t="s">
        <v>226</v>
      </c>
      <c r="Z18" t="s">
        <v>145</v>
      </c>
      <c r="AA18" t="s">
        <v>143</v>
      </c>
      <c r="AB18" t="s">
        <v>143</v>
      </c>
      <c r="AC18" t="s">
        <v>143</v>
      </c>
      <c r="AD18" t="s">
        <v>143</v>
      </c>
      <c r="AE18" t="s">
        <v>143</v>
      </c>
      <c r="AF18" t="s">
        <v>143</v>
      </c>
      <c r="AG18" t="s">
        <v>143</v>
      </c>
      <c r="AH18" t="s">
        <v>143</v>
      </c>
      <c r="AI18" t="s">
        <v>152</v>
      </c>
      <c r="AJ18" t="s">
        <v>143</v>
      </c>
      <c r="AK18" t="s">
        <v>143</v>
      </c>
    </row>
    <row r="19" spans="1:37" ht="18" x14ac:dyDescent="0.2">
      <c r="A19" t="s">
        <v>21</v>
      </c>
      <c r="B19" t="s">
        <v>23</v>
      </c>
      <c r="C19" t="s">
        <v>5</v>
      </c>
      <c r="D19" t="s">
        <v>617</v>
      </c>
      <c r="E19" t="s">
        <v>6</v>
      </c>
      <c r="F19" t="s">
        <v>142</v>
      </c>
      <c r="G19" t="s">
        <v>143</v>
      </c>
      <c r="H19" t="s">
        <v>538</v>
      </c>
      <c r="I19" s="1" t="s">
        <v>459</v>
      </c>
      <c r="J19" t="s">
        <v>139</v>
      </c>
      <c r="K19" t="s">
        <v>151</v>
      </c>
      <c r="L19" t="s">
        <v>145</v>
      </c>
      <c r="M19" t="s">
        <v>143</v>
      </c>
      <c r="N19" t="s">
        <v>441</v>
      </c>
      <c r="O19" t="s">
        <v>143</v>
      </c>
      <c r="P19" t="s">
        <v>143</v>
      </c>
      <c r="Q19" t="s">
        <v>143</v>
      </c>
      <c r="R19" t="s">
        <v>143</v>
      </c>
      <c r="S19" t="s">
        <v>143</v>
      </c>
      <c r="T19" t="s">
        <v>143</v>
      </c>
      <c r="U19" t="s">
        <v>143</v>
      </c>
      <c r="V19" t="s">
        <v>538</v>
      </c>
      <c r="W19" s="1" t="s">
        <v>459</v>
      </c>
      <c r="X19" t="s">
        <v>139</v>
      </c>
      <c r="Y19" s="9" t="s">
        <v>226</v>
      </c>
      <c r="Z19" t="s">
        <v>145</v>
      </c>
      <c r="AA19" t="s">
        <v>143</v>
      </c>
      <c r="AB19" t="s">
        <v>143</v>
      </c>
      <c r="AC19" t="s">
        <v>143</v>
      </c>
      <c r="AD19" t="s">
        <v>143</v>
      </c>
      <c r="AE19" t="s">
        <v>143</v>
      </c>
      <c r="AF19" t="s">
        <v>143</v>
      </c>
      <c r="AG19" t="s">
        <v>143</v>
      </c>
      <c r="AH19" t="s">
        <v>143</v>
      </c>
      <c r="AI19" t="s">
        <v>152</v>
      </c>
      <c r="AJ19" t="s">
        <v>143</v>
      </c>
      <c r="AK19" t="s">
        <v>143</v>
      </c>
    </row>
    <row r="20" spans="1:37" ht="18" x14ac:dyDescent="0.2">
      <c r="A20" t="s">
        <v>21</v>
      </c>
      <c r="B20" t="s">
        <v>24</v>
      </c>
      <c r="C20" t="s">
        <v>5</v>
      </c>
      <c r="D20" t="s">
        <v>618</v>
      </c>
      <c r="E20" t="s">
        <v>6</v>
      </c>
      <c r="F20" t="s">
        <v>142</v>
      </c>
      <c r="G20" t="s">
        <v>143</v>
      </c>
      <c r="H20" t="s">
        <v>538</v>
      </c>
      <c r="I20" s="1" t="s">
        <v>459</v>
      </c>
      <c r="J20" t="s">
        <v>139</v>
      </c>
      <c r="K20" t="s">
        <v>151</v>
      </c>
      <c r="L20" t="s">
        <v>145</v>
      </c>
      <c r="M20" t="s">
        <v>143</v>
      </c>
      <c r="N20" t="s">
        <v>442</v>
      </c>
      <c r="O20" t="s">
        <v>143</v>
      </c>
      <c r="P20" t="s">
        <v>143</v>
      </c>
      <c r="Q20" t="s">
        <v>143</v>
      </c>
      <c r="R20" t="s">
        <v>143</v>
      </c>
      <c r="S20" t="s">
        <v>143</v>
      </c>
      <c r="T20" t="s">
        <v>143</v>
      </c>
      <c r="U20" t="s">
        <v>143</v>
      </c>
      <c r="V20" t="s">
        <v>538</v>
      </c>
      <c r="W20" s="1" t="s">
        <v>459</v>
      </c>
      <c r="X20" t="s">
        <v>139</v>
      </c>
      <c r="Y20" s="9" t="s">
        <v>226</v>
      </c>
      <c r="Z20" t="s">
        <v>145</v>
      </c>
      <c r="AA20" t="s">
        <v>143</v>
      </c>
      <c r="AB20" t="s">
        <v>143</v>
      </c>
      <c r="AC20" t="s">
        <v>143</v>
      </c>
      <c r="AD20" t="s">
        <v>143</v>
      </c>
      <c r="AE20" t="s">
        <v>143</v>
      </c>
      <c r="AF20" t="s">
        <v>143</v>
      </c>
      <c r="AG20" t="s">
        <v>143</v>
      </c>
      <c r="AH20" t="s">
        <v>143</v>
      </c>
      <c r="AI20" t="s">
        <v>152</v>
      </c>
      <c r="AJ20" t="s">
        <v>143</v>
      </c>
      <c r="AK20" t="s">
        <v>143</v>
      </c>
    </row>
    <row r="21" spans="1:37" ht="18" x14ac:dyDescent="0.2">
      <c r="A21" t="s">
        <v>21</v>
      </c>
      <c r="B21" t="s">
        <v>25</v>
      </c>
      <c r="C21" t="s">
        <v>5</v>
      </c>
      <c r="D21" t="s">
        <v>619</v>
      </c>
      <c r="E21" t="s">
        <v>6</v>
      </c>
      <c r="F21" t="s">
        <v>142</v>
      </c>
      <c r="G21" t="s">
        <v>143</v>
      </c>
      <c r="H21" t="s">
        <v>538</v>
      </c>
      <c r="I21" s="1" t="s">
        <v>459</v>
      </c>
      <c r="J21" t="s">
        <v>139</v>
      </c>
      <c r="K21" t="s">
        <v>151</v>
      </c>
      <c r="L21" t="s">
        <v>145</v>
      </c>
      <c r="M21" t="s">
        <v>143</v>
      </c>
      <c r="N21" t="s">
        <v>443</v>
      </c>
      <c r="O21" t="s">
        <v>143</v>
      </c>
      <c r="P21" t="s">
        <v>143</v>
      </c>
      <c r="Q21" t="s">
        <v>143</v>
      </c>
      <c r="R21" t="s">
        <v>143</v>
      </c>
      <c r="S21" t="s">
        <v>143</v>
      </c>
      <c r="T21" t="s">
        <v>143</v>
      </c>
      <c r="U21" t="s">
        <v>143</v>
      </c>
      <c r="V21" t="s">
        <v>538</v>
      </c>
      <c r="W21" s="1" t="s">
        <v>459</v>
      </c>
      <c r="X21" t="s">
        <v>139</v>
      </c>
      <c r="Y21" s="9" t="s">
        <v>226</v>
      </c>
      <c r="Z21" t="s">
        <v>145</v>
      </c>
      <c r="AA21" t="s">
        <v>143</v>
      </c>
      <c r="AB21" t="s">
        <v>143</v>
      </c>
      <c r="AC21" t="s">
        <v>143</v>
      </c>
      <c r="AD21" t="s">
        <v>143</v>
      </c>
      <c r="AE21" t="s">
        <v>143</v>
      </c>
      <c r="AF21" t="s">
        <v>143</v>
      </c>
      <c r="AG21" t="s">
        <v>143</v>
      </c>
      <c r="AH21" t="s">
        <v>143</v>
      </c>
      <c r="AI21" t="s">
        <v>152</v>
      </c>
      <c r="AJ21" t="s">
        <v>143</v>
      </c>
      <c r="AK21" t="s">
        <v>143</v>
      </c>
    </row>
    <row r="22" spans="1:37" ht="18" x14ac:dyDescent="0.2">
      <c r="A22" t="s">
        <v>21</v>
      </c>
      <c r="B22" t="s">
        <v>26</v>
      </c>
      <c r="C22" t="s">
        <v>5</v>
      </c>
      <c r="D22" t="s">
        <v>620</v>
      </c>
      <c r="E22" t="s">
        <v>6</v>
      </c>
      <c r="F22" t="s">
        <v>142</v>
      </c>
      <c r="G22" t="s">
        <v>143</v>
      </c>
      <c r="H22" t="s">
        <v>538</v>
      </c>
      <c r="I22" s="1" t="s">
        <v>459</v>
      </c>
      <c r="J22" t="s">
        <v>139</v>
      </c>
      <c r="K22" t="s">
        <v>151</v>
      </c>
      <c r="L22" t="s">
        <v>145</v>
      </c>
      <c r="M22" t="s">
        <v>143</v>
      </c>
      <c r="N22" t="s">
        <v>444</v>
      </c>
      <c r="O22" t="s">
        <v>143</v>
      </c>
      <c r="P22" t="s">
        <v>143</v>
      </c>
      <c r="Q22" t="s">
        <v>143</v>
      </c>
      <c r="R22" t="s">
        <v>143</v>
      </c>
      <c r="S22" t="s">
        <v>143</v>
      </c>
      <c r="T22" t="s">
        <v>143</v>
      </c>
      <c r="U22" t="s">
        <v>143</v>
      </c>
      <c r="V22" t="s">
        <v>538</v>
      </c>
      <c r="W22" s="1" t="s">
        <v>459</v>
      </c>
      <c r="X22" t="s">
        <v>139</v>
      </c>
      <c r="Y22" s="9" t="s">
        <v>226</v>
      </c>
      <c r="Z22" t="s">
        <v>145</v>
      </c>
      <c r="AA22" t="s">
        <v>143</v>
      </c>
      <c r="AB22" t="s">
        <v>143</v>
      </c>
      <c r="AC22" t="s">
        <v>143</v>
      </c>
      <c r="AD22" t="s">
        <v>143</v>
      </c>
      <c r="AE22" t="s">
        <v>143</v>
      </c>
      <c r="AF22" t="s">
        <v>143</v>
      </c>
      <c r="AG22" t="s">
        <v>143</v>
      </c>
      <c r="AH22" t="s">
        <v>143</v>
      </c>
      <c r="AI22" t="s">
        <v>152</v>
      </c>
      <c r="AJ22" t="s">
        <v>143</v>
      </c>
      <c r="AK22" t="s">
        <v>143</v>
      </c>
    </row>
    <row r="23" spans="1:37" ht="18" x14ac:dyDescent="0.2">
      <c r="A23" t="s">
        <v>21</v>
      </c>
      <c r="B23" t="s">
        <v>27</v>
      </c>
      <c r="C23" t="s">
        <v>5</v>
      </c>
      <c r="D23" t="s">
        <v>621</v>
      </c>
      <c r="E23" t="s">
        <v>6</v>
      </c>
      <c r="F23" t="s">
        <v>142</v>
      </c>
      <c r="G23" t="s">
        <v>143</v>
      </c>
      <c r="H23" t="s">
        <v>538</v>
      </c>
      <c r="I23" s="1" t="s">
        <v>459</v>
      </c>
      <c r="J23" t="s">
        <v>139</v>
      </c>
      <c r="K23" s="3" t="s">
        <v>97</v>
      </c>
      <c r="L23" t="s">
        <v>145</v>
      </c>
      <c r="M23" t="s">
        <v>143</v>
      </c>
      <c r="N23" t="s">
        <v>445</v>
      </c>
      <c r="O23" t="s">
        <v>143</v>
      </c>
      <c r="P23" t="s">
        <v>143</v>
      </c>
      <c r="Q23" t="s">
        <v>143</v>
      </c>
      <c r="R23" t="s">
        <v>143</v>
      </c>
      <c r="S23" t="s">
        <v>143</v>
      </c>
      <c r="T23" t="s">
        <v>143</v>
      </c>
      <c r="U23" t="s">
        <v>143</v>
      </c>
      <c r="V23" t="s">
        <v>538</v>
      </c>
      <c r="W23" s="1" t="s">
        <v>459</v>
      </c>
      <c r="X23" t="s">
        <v>139</v>
      </c>
      <c r="Y23" s="3" t="s">
        <v>97</v>
      </c>
      <c r="Z23" t="s">
        <v>145</v>
      </c>
      <c r="AA23" t="s">
        <v>143</v>
      </c>
      <c r="AB23" t="s">
        <v>143</v>
      </c>
      <c r="AC23" t="s">
        <v>143</v>
      </c>
      <c r="AD23" t="s">
        <v>143</v>
      </c>
      <c r="AE23" t="s">
        <v>143</v>
      </c>
      <c r="AF23" t="s">
        <v>143</v>
      </c>
      <c r="AG23" t="s">
        <v>143</v>
      </c>
      <c r="AH23" t="s">
        <v>143</v>
      </c>
      <c r="AI23" t="s">
        <v>152</v>
      </c>
      <c r="AJ23" t="s">
        <v>143</v>
      </c>
      <c r="AK23" t="s">
        <v>143</v>
      </c>
    </row>
    <row r="24" spans="1:37" ht="18" x14ac:dyDescent="0.2">
      <c r="A24" t="s">
        <v>21</v>
      </c>
      <c r="B24" t="s">
        <v>28</v>
      </c>
      <c r="C24" t="s">
        <v>5</v>
      </c>
      <c r="D24" t="s">
        <v>622</v>
      </c>
      <c r="E24" t="s">
        <v>6</v>
      </c>
      <c r="F24" t="s">
        <v>142</v>
      </c>
      <c r="G24" t="s">
        <v>143</v>
      </c>
      <c r="H24" t="s">
        <v>538</v>
      </c>
      <c r="I24" s="1" t="s">
        <v>459</v>
      </c>
      <c r="J24" t="s">
        <v>139</v>
      </c>
      <c r="K24" s="3" t="s">
        <v>97</v>
      </c>
      <c r="L24" t="s">
        <v>145</v>
      </c>
      <c r="M24" t="s">
        <v>143</v>
      </c>
      <c r="N24" t="s">
        <v>446</v>
      </c>
      <c r="O24" t="s">
        <v>143</v>
      </c>
      <c r="P24" t="s">
        <v>143</v>
      </c>
      <c r="Q24" t="s">
        <v>143</v>
      </c>
      <c r="R24" t="s">
        <v>143</v>
      </c>
      <c r="S24" t="s">
        <v>143</v>
      </c>
      <c r="T24" t="s">
        <v>143</v>
      </c>
      <c r="U24" t="s">
        <v>143</v>
      </c>
      <c r="V24" t="s">
        <v>538</v>
      </c>
      <c r="W24" s="1" t="s">
        <v>459</v>
      </c>
      <c r="X24" t="s">
        <v>139</v>
      </c>
      <c r="Y24" s="3" t="s">
        <v>97</v>
      </c>
      <c r="Z24" t="s">
        <v>145</v>
      </c>
      <c r="AA24" t="s">
        <v>143</v>
      </c>
      <c r="AB24" t="s">
        <v>143</v>
      </c>
      <c r="AC24" t="s">
        <v>143</v>
      </c>
      <c r="AD24" t="s">
        <v>143</v>
      </c>
      <c r="AE24" t="s">
        <v>143</v>
      </c>
      <c r="AF24" t="s">
        <v>143</v>
      </c>
      <c r="AG24" t="s">
        <v>143</v>
      </c>
      <c r="AH24" t="s">
        <v>143</v>
      </c>
      <c r="AI24" t="s">
        <v>152</v>
      </c>
      <c r="AJ24" t="s">
        <v>143</v>
      </c>
      <c r="AK24" t="s">
        <v>143</v>
      </c>
    </row>
    <row r="25" spans="1:37" ht="18" x14ac:dyDescent="0.2">
      <c r="A25" t="s">
        <v>21</v>
      </c>
      <c r="B25" t="s">
        <v>29</v>
      </c>
      <c r="C25" t="s">
        <v>5</v>
      </c>
      <c r="D25" t="s">
        <v>623</v>
      </c>
      <c r="E25" t="s">
        <v>6</v>
      </c>
      <c r="F25" t="s">
        <v>142</v>
      </c>
      <c r="G25" t="s">
        <v>143</v>
      </c>
      <c r="H25" t="s">
        <v>538</v>
      </c>
      <c r="I25" s="1" t="s">
        <v>459</v>
      </c>
      <c r="J25" t="s">
        <v>139</v>
      </c>
      <c r="K25" t="s">
        <v>151</v>
      </c>
      <c r="L25" t="s">
        <v>145</v>
      </c>
      <c r="M25" t="s">
        <v>143</v>
      </c>
      <c r="N25" t="s">
        <v>447</v>
      </c>
      <c r="O25" t="s">
        <v>143</v>
      </c>
      <c r="P25" t="s">
        <v>143</v>
      </c>
      <c r="Q25" t="s">
        <v>143</v>
      </c>
      <c r="R25" t="s">
        <v>143</v>
      </c>
      <c r="S25" t="s">
        <v>143</v>
      </c>
      <c r="T25" t="s">
        <v>143</v>
      </c>
      <c r="U25" t="s">
        <v>143</v>
      </c>
      <c r="V25" t="s">
        <v>538</v>
      </c>
      <c r="W25" s="1" t="s">
        <v>459</v>
      </c>
      <c r="X25" t="s">
        <v>139</v>
      </c>
      <c r="Y25" s="9" t="s">
        <v>226</v>
      </c>
      <c r="Z25" t="s">
        <v>145</v>
      </c>
      <c r="AA25" t="s">
        <v>143</v>
      </c>
      <c r="AB25" t="s">
        <v>143</v>
      </c>
      <c r="AC25" t="s">
        <v>143</v>
      </c>
      <c r="AD25" t="s">
        <v>143</v>
      </c>
      <c r="AE25" t="s">
        <v>143</v>
      </c>
      <c r="AF25" t="s">
        <v>143</v>
      </c>
      <c r="AG25" t="s">
        <v>143</v>
      </c>
      <c r="AH25" t="s">
        <v>143</v>
      </c>
      <c r="AI25" t="s">
        <v>152</v>
      </c>
      <c r="AJ25" t="s">
        <v>143</v>
      </c>
      <c r="AK25" t="s">
        <v>143</v>
      </c>
    </row>
    <row r="26" spans="1:37" ht="18" x14ac:dyDescent="0.2">
      <c r="A26" t="s">
        <v>21</v>
      </c>
      <c r="B26" t="s">
        <v>30</v>
      </c>
      <c r="C26" t="s">
        <v>5</v>
      </c>
      <c r="D26" t="s">
        <v>624</v>
      </c>
      <c r="E26" t="s">
        <v>6</v>
      </c>
      <c r="F26" t="s">
        <v>142</v>
      </c>
      <c r="G26" t="s">
        <v>143</v>
      </c>
      <c r="H26" t="s">
        <v>538</v>
      </c>
      <c r="I26" s="1" t="s">
        <v>459</v>
      </c>
      <c r="J26" t="s">
        <v>139</v>
      </c>
      <c r="K26" t="s">
        <v>151</v>
      </c>
      <c r="L26" t="s">
        <v>145</v>
      </c>
      <c r="M26" t="s">
        <v>143</v>
      </c>
      <c r="N26" t="s">
        <v>448</v>
      </c>
      <c r="O26" t="s">
        <v>143</v>
      </c>
      <c r="P26" t="s">
        <v>143</v>
      </c>
      <c r="Q26" t="s">
        <v>143</v>
      </c>
      <c r="R26" t="s">
        <v>143</v>
      </c>
      <c r="S26" t="s">
        <v>143</v>
      </c>
      <c r="T26" t="s">
        <v>143</v>
      </c>
      <c r="U26" t="s">
        <v>143</v>
      </c>
      <c r="V26" t="s">
        <v>538</v>
      </c>
      <c r="W26" s="1" t="s">
        <v>459</v>
      </c>
      <c r="X26" t="s">
        <v>139</v>
      </c>
      <c r="Y26" s="9" t="s">
        <v>226</v>
      </c>
      <c r="Z26" t="s">
        <v>145</v>
      </c>
      <c r="AA26" t="s">
        <v>143</v>
      </c>
      <c r="AB26" t="s">
        <v>143</v>
      </c>
      <c r="AC26" t="s">
        <v>143</v>
      </c>
      <c r="AD26" t="s">
        <v>143</v>
      </c>
      <c r="AE26" t="s">
        <v>143</v>
      </c>
      <c r="AF26" t="s">
        <v>143</v>
      </c>
      <c r="AG26" t="s">
        <v>143</v>
      </c>
      <c r="AH26" t="s">
        <v>143</v>
      </c>
      <c r="AI26" t="s">
        <v>152</v>
      </c>
      <c r="AJ26" t="s">
        <v>143</v>
      </c>
      <c r="AK26" t="s">
        <v>143</v>
      </c>
    </row>
    <row r="27" spans="1:37" ht="18" x14ac:dyDescent="0.2">
      <c r="A27" t="s">
        <v>21</v>
      </c>
      <c r="B27" t="s">
        <v>31</v>
      </c>
      <c r="C27" t="s">
        <v>5</v>
      </c>
      <c r="D27" t="s">
        <v>625</v>
      </c>
      <c r="E27" t="s">
        <v>6</v>
      </c>
      <c r="F27" t="s">
        <v>142</v>
      </c>
      <c r="G27" t="s">
        <v>143</v>
      </c>
      <c r="H27" t="s">
        <v>538</v>
      </c>
      <c r="I27" s="1" t="s">
        <v>459</v>
      </c>
      <c r="J27" t="s">
        <v>139</v>
      </c>
      <c r="K27" t="s">
        <v>151</v>
      </c>
      <c r="L27" t="s">
        <v>145</v>
      </c>
      <c r="M27" t="s">
        <v>143</v>
      </c>
      <c r="N27" t="s">
        <v>449</v>
      </c>
      <c r="O27" t="s">
        <v>143</v>
      </c>
      <c r="P27" t="s">
        <v>143</v>
      </c>
      <c r="Q27" t="s">
        <v>143</v>
      </c>
      <c r="R27" t="s">
        <v>143</v>
      </c>
      <c r="S27" t="s">
        <v>143</v>
      </c>
      <c r="T27" t="s">
        <v>143</v>
      </c>
      <c r="U27" t="s">
        <v>143</v>
      </c>
      <c r="V27" t="s">
        <v>538</v>
      </c>
      <c r="W27" s="1" t="s">
        <v>459</v>
      </c>
      <c r="X27" t="s">
        <v>139</v>
      </c>
      <c r="Y27" s="9" t="s">
        <v>226</v>
      </c>
      <c r="Z27" t="s">
        <v>145</v>
      </c>
      <c r="AA27" t="s">
        <v>143</v>
      </c>
      <c r="AB27" t="s">
        <v>143</v>
      </c>
      <c r="AC27" t="s">
        <v>143</v>
      </c>
      <c r="AD27" t="s">
        <v>143</v>
      </c>
      <c r="AE27" t="s">
        <v>143</v>
      </c>
      <c r="AF27" t="s">
        <v>143</v>
      </c>
      <c r="AG27" t="s">
        <v>143</v>
      </c>
      <c r="AH27" t="s">
        <v>143</v>
      </c>
      <c r="AI27" t="s">
        <v>152</v>
      </c>
      <c r="AJ27" t="s">
        <v>143</v>
      </c>
      <c r="AK27" t="s">
        <v>143</v>
      </c>
    </row>
    <row r="28" spans="1:37" ht="18" x14ac:dyDescent="0.2">
      <c r="A28" t="s">
        <v>21</v>
      </c>
      <c r="B28" t="s">
        <v>32</v>
      </c>
      <c r="C28" t="s">
        <v>5</v>
      </c>
      <c r="D28" t="s">
        <v>626</v>
      </c>
      <c r="E28" t="s">
        <v>6</v>
      </c>
      <c r="F28" s="1" t="s">
        <v>144</v>
      </c>
      <c r="G28" t="s">
        <v>143</v>
      </c>
      <c r="H28" t="s">
        <v>530</v>
      </c>
      <c r="I28" s="1" t="s">
        <v>458</v>
      </c>
      <c r="J28" t="s">
        <v>139</v>
      </c>
      <c r="K28" t="s">
        <v>151</v>
      </c>
      <c r="L28" t="s">
        <v>145</v>
      </c>
      <c r="M28" t="s">
        <v>143</v>
      </c>
      <c r="N28" t="s">
        <v>438</v>
      </c>
      <c r="O28" t="s">
        <v>143</v>
      </c>
      <c r="P28" t="s">
        <v>143</v>
      </c>
      <c r="Q28" t="s">
        <v>143</v>
      </c>
      <c r="R28" t="s">
        <v>143</v>
      </c>
      <c r="S28" t="s">
        <v>143</v>
      </c>
      <c r="T28" t="s">
        <v>143</v>
      </c>
      <c r="U28" t="s">
        <v>143</v>
      </c>
      <c r="V28" t="s">
        <v>143</v>
      </c>
      <c r="W28" t="s">
        <v>143</v>
      </c>
      <c r="X28" t="s">
        <v>143</v>
      </c>
      <c r="Y28" t="s">
        <v>143</v>
      </c>
      <c r="Z28" t="s">
        <v>143</v>
      </c>
      <c r="AA28" t="s">
        <v>143</v>
      </c>
      <c r="AB28" t="s">
        <v>143</v>
      </c>
      <c r="AC28" t="s">
        <v>143</v>
      </c>
      <c r="AD28" t="s">
        <v>143</v>
      </c>
      <c r="AE28" t="s">
        <v>143</v>
      </c>
      <c r="AF28" t="s">
        <v>143</v>
      </c>
      <c r="AG28" t="s">
        <v>143</v>
      </c>
      <c r="AH28" t="s">
        <v>143</v>
      </c>
      <c r="AI28" t="s">
        <v>143</v>
      </c>
      <c r="AJ28" t="s">
        <v>143</v>
      </c>
      <c r="AK28" t="s">
        <v>143</v>
      </c>
    </row>
    <row r="29" spans="1:37" ht="18" x14ac:dyDescent="0.2">
      <c r="A29" t="s">
        <v>21</v>
      </c>
      <c r="B29" t="s">
        <v>33</v>
      </c>
      <c r="C29" t="s">
        <v>5</v>
      </c>
      <c r="D29" t="s">
        <v>627</v>
      </c>
      <c r="E29" t="s">
        <v>6</v>
      </c>
      <c r="F29" s="1" t="s">
        <v>144</v>
      </c>
      <c r="G29" t="s">
        <v>143</v>
      </c>
      <c r="H29" t="s">
        <v>530</v>
      </c>
      <c r="I29" s="1" t="s">
        <v>458</v>
      </c>
      <c r="J29" t="s">
        <v>139</v>
      </c>
      <c r="K29" t="s">
        <v>151</v>
      </c>
      <c r="L29" t="s">
        <v>145</v>
      </c>
      <c r="M29" t="s">
        <v>143</v>
      </c>
      <c r="N29" t="s">
        <v>441</v>
      </c>
      <c r="O29" t="s">
        <v>143</v>
      </c>
      <c r="P29" t="s">
        <v>143</v>
      </c>
      <c r="Q29" t="s">
        <v>143</v>
      </c>
      <c r="R29" t="s">
        <v>143</v>
      </c>
      <c r="S29" t="s">
        <v>143</v>
      </c>
      <c r="T29" t="s">
        <v>143</v>
      </c>
      <c r="U29" t="s">
        <v>143</v>
      </c>
      <c r="V29" t="s">
        <v>143</v>
      </c>
      <c r="W29" t="s">
        <v>143</v>
      </c>
      <c r="X29" t="s">
        <v>143</v>
      </c>
      <c r="Y29" t="s">
        <v>143</v>
      </c>
      <c r="Z29" t="s">
        <v>143</v>
      </c>
      <c r="AA29" t="s">
        <v>143</v>
      </c>
      <c r="AB29" t="s">
        <v>143</v>
      </c>
      <c r="AC29" t="s">
        <v>143</v>
      </c>
      <c r="AD29" t="s">
        <v>143</v>
      </c>
      <c r="AE29" t="s">
        <v>143</v>
      </c>
      <c r="AF29" t="s">
        <v>143</v>
      </c>
      <c r="AG29" t="s">
        <v>143</v>
      </c>
      <c r="AH29" t="s">
        <v>143</v>
      </c>
      <c r="AI29" t="s">
        <v>143</v>
      </c>
      <c r="AJ29" t="s">
        <v>143</v>
      </c>
      <c r="AK29" t="s">
        <v>143</v>
      </c>
    </row>
    <row r="30" spans="1:37" ht="18" x14ac:dyDescent="0.2">
      <c r="A30" t="s">
        <v>21</v>
      </c>
      <c r="B30" t="s">
        <v>34</v>
      </c>
      <c r="C30" t="s">
        <v>5</v>
      </c>
      <c r="D30" t="s">
        <v>628</v>
      </c>
      <c r="E30" t="s">
        <v>6</v>
      </c>
      <c r="F30" s="1" t="s">
        <v>144</v>
      </c>
      <c r="G30" t="s">
        <v>143</v>
      </c>
      <c r="H30" t="s">
        <v>530</v>
      </c>
      <c r="I30" s="1" t="s">
        <v>458</v>
      </c>
      <c r="J30" t="s">
        <v>139</v>
      </c>
      <c r="K30" t="s">
        <v>151</v>
      </c>
      <c r="L30" t="s">
        <v>145</v>
      </c>
      <c r="M30" t="s">
        <v>143</v>
      </c>
      <c r="N30" t="s">
        <v>442</v>
      </c>
      <c r="O30" t="s">
        <v>143</v>
      </c>
      <c r="P30" t="s">
        <v>143</v>
      </c>
      <c r="Q30" t="s">
        <v>143</v>
      </c>
      <c r="R30" t="s">
        <v>143</v>
      </c>
      <c r="S30" t="s">
        <v>143</v>
      </c>
      <c r="T30" t="s">
        <v>143</v>
      </c>
      <c r="U30" t="s">
        <v>143</v>
      </c>
      <c r="V30" t="s">
        <v>143</v>
      </c>
      <c r="W30" t="s">
        <v>143</v>
      </c>
      <c r="X30" t="s">
        <v>143</v>
      </c>
      <c r="Y30" t="s">
        <v>143</v>
      </c>
      <c r="Z30" t="s">
        <v>143</v>
      </c>
      <c r="AA30" t="s">
        <v>143</v>
      </c>
      <c r="AB30" t="s">
        <v>143</v>
      </c>
      <c r="AC30" t="s">
        <v>143</v>
      </c>
      <c r="AD30" t="s">
        <v>143</v>
      </c>
      <c r="AE30" t="s">
        <v>143</v>
      </c>
      <c r="AF30" t="s">
        <v>143</v>
      </c>
      <c r="AG30" t="s">
        <v>143</v>
      </c>
      <c r="AH30" t="s">
        <v>143</v>
      </c>
      <c r="AI30" t="s">
        <v>143</v>
      </c>
      <c r="AJ30" t="s">
        <v>143</v>
      </c>
      <c r="AK30" t="s">
        <v>143</v>
      </c>
    </row>
    <row r="31" spans="1:37" ht="18" x14ac:dyDescent="0.2">
      <c r="A31" t="s">
        <v>21</v>
      </c>
      <c r="B31" t="s">
        <v>35</v>
      </c>
      <c r="C31" t="s">
        <v>5</v>
      </c>
      <c r="D31" t="s">
        <v>629</v>
      </c>
      <c r="E31" t="s">
        <v>6</v>
      </c>
      <c r="F31" s="1" t="s">
        <v>144</v>
      </c>
      <c r="G31" t="s">
        <v>143</v>
      </c>
      <c r="H31" t="s">
        <v>530</v>
      </c>
      <c r="I31" s="1" t="s">
        <v>458</v>
      </c>
      <c r="J31" t="s">
        <v>139</v>
      </c>
      <c r="K31" t="s">
        <v>151</v>
      </c>
      <c r="L31" t="s">
        <v>145</v>
      </c>
      <c r="M31" t="s">
        <v>143</v>
      </c>
      <c r="N31" t="s">
        <v>443</v>
      </c>
      <c r="O31" t="s">
        <v>143</v>
      </c>
      <c r="P31" t="s">
        <v>143</v>
      </c>
      <c r="Q31" t="s">
        <v>143</v>
      </c>
      <c r="R31" t="s">
        <v>143</v>
      </c>
      <c r="S31" t="s">
        <v>143</v>
      </c>
      <c r="T31" t="s">
        <v>143</v>
      </c>
      <c r="U31" t="s">
        <v>143</v>
      </c>
      <c r="V31" t="s">
        <v>143</v>
      </c>
      <c r="W31" t="s">
        <v>143</v>
      </c>
      <c r="X31" t="s">
        <v>143</v>
      </c>
      <c r="Y31" t="s">
        <v>143</v>
      </c>
      <c r="Z31" t="s">
        <v>143</v>
      </c>
      <c r="AA31" t="s">
        <v>143</v>
      </c>
      <c r="AB31" t="s">
        <v>143</v>
      </c>
      <c r="AC31" t="s">
        <v>143</v>
      </c>
      <c r="AD31" t="s">
        <v>143</v>
      </c>
      <c r="AE31" t="s">
        <v>143</v>
      </c>
      <c r="AF31" t="s">
        <v>143</v>
      </c>
      <c r="AG31" t="s">
        <v>143</v>
      </c>
      <c r="AH31" t="s">
        <v>143</v>
      </c>
      <c r="AI31" t="s">
        <v>143</v>
      </c>
      <c r="AJ31" t="s">
        <v>143</v>
      </c>
      <c r="AK31" t="s">
        <v>143</v>
      </c>
    </row>
    <row r="32" spans="1:37" ht="18" x14ac:dyDescent="0.2">
      <c r="A32" t="s">
        <v>21</v>
      </c>
      <c r="B32" t="s">
        <v>36</v>
      </c>
      <c r="C32" t="s">
        <v>5</v>
      </c>
      <c r="D32" t="s">
        <v>630</v>
      </c>
      <c r="E32" t="s">
        <v>6</v>
      </c>
      <c r="F32" s="1" t="s">
        <v>144</v>
      </c>
      <c r="G32" t="s">
        <v>143</v>
      </c>
      <c r="H32" t="s">
        <v>530</v>
      </c>
      <c r="I32" s="1" t="s">
        <v>458</v>
      </c>
      <c r="J32" t="s">
        <v>139</v>
      </c>
      <c r="K32" t="s">
        <v>151</v>
      </c>
      <c r="L32" t="s">
        <v>145</v>
      </c>
      <c r="M32" t="s">
        <v>143</v>
      </c>
      <c r="N32" t="s">
        <v>444</v>
      </c>
      <c r="O32" t="s">
        <v>143</v>
      </c>
      <c r="P32" t="s">
        <v>143</v>
      </c>
      <c r="Q32" t="s">
        <v>143</v>
      </c>
      <c r="R32" t="s">
        <v>143</v>
      </c>
      <c r="S32" t="s">
        <v>143</v>
      </c>
      <c r="T32" t="s">
        <v>143</v>
      </c>
      <c r="U32" t="s">
        <v>143</v>
      </c>
      <c r="V32" t="s">
        <v>143</v>
      </c>
      <c r="W32" t="s">
        <v>143</v>
      </c>
      <c r="X32" t="s">
        <v>143</v>
      </c>
      <c r="Y32" t="s">
        <v>143</v>
      </c>
      <c r="Z32" t="s">
        <v>143</v>
      </c>
      <c r="AA32" t="s">
        <v>143</v>
      </c>
      <c r="AB32" t="s">
        <v>143</v>
      </c>
      <c r="AC32" t="s">
        <v>143</v>
      </c>
      <c r="AD32" t="s">
        <v>143</v>
      </c>
      <c r="AE32" t="s">
        <v>143</v>
      </c>
      <c r="AF32" t="s">
        <v>143</v>
      </c>
      <c r="AG32" t="s">
        <v>143</v>
      </c>
      <c r="AH32" t="s">
        <v>143</v>
      </c>
      <c r="AI32" t="s">
        <v>143</v>
      </c>
      <c r="AJ32" t="s">
        <v>143</v>
      </c>
      <c r="AK32" t="s">
        <v>143</v>
      </c>
    </row>
    <row r="33" spans="1:37" ht="18" x14ac:dyDescent="0.2">
      <c r="A33" t="s">
        <v>21</v>
      </c>
      <c r="B33" t="s">
        <v>37</v>
      </c>
      <c r="C33" t="s">
        <v>5</v>
      </c>
      <c r="D33" t="s">
        <v>631</v>
      </c>
      <c r="E33" t="s">
        <v>6</v>
      </c>
      <c r="F33" s="1" t="s">
        <v>144</v>
      </c>
      <c r="G33" t="s">
        <v>143</v>
      </c>
      <c r="H33" t="s">
        <v>530</v>
      </c>
      <c r="I33" s="1" t="s">
        <v>458</v>
      </c>
      <c r="J33" t="s">
        <v>139</v>
      </c>
      <c r="K33" s="3" t="s">
        <v>97</v>
      </c>
      <c r="L33" t="s">
        <v>145</v>
      </c>
      <c r="M33" t="s">
        <v>143</v>
      </c>
      <c r="N33" t="s">
        <v>445</v>
      </c>
      <c r="O33" t="s">
        <v>143</v>
      </c>
      <c r="P33" t="s">
        <v>143</v>
      </c>
      <c r="Q33" t="s">
        <v>143</v>
      </c>
      <c r="R33" t="s">
        <v>143</v>
      </c>
      <c r="S33" t="s">
        <v>143</v>
      </c>
      <c r="T33" t="s">
        <v>143</v>
      </c>
      <c r="U33" t="s">
        <v>143</v>
      </c>
      <c r="V33" t="s">
        <v>143</v>
      </c>
      <c r="W33" t="s">
        <v>143</v>
      </c>
      <c r="X33" t="s">
        <v>143</v>
      </c>
      <c r="Y33" t="s">
        <v>143</v>
      </c>
      <c r="Z33" t="s">
        <v>143</v>
      </c>
      <c r="AA33" t="s">
        <v>143</v>
      </c>
      <c r="AB33" t="s">
        <v>143</v>
      </c>
      <c r="AC33" t="s">
        <v>143</v>
      </c>
      <c r="AD33" t="s">
        <v>143</v>
      </c>
      <c r="AE33" t="s">
        <v>143</v>
      </c>
      <c r="AF33" t="s">
        <v>143</v>
      </c>
      <c r="AG33" t="s">
        <v>143</v>
      </c>
      <c r="AH33" t="s">
        <v>143</v>
      </c>
      <c r="AI33" t="s">
        <v>143</v>
      </c>
      <c r="AJ33" t="s">
        <v>143</v>
      </c>
      <c r="AK33" t="s">
        <v>143</v>
      </c>
    </row>
    <row r="34" spans="1:37" ht="18" x14ac:dyDescent="0.2">
      <c r="A34" t="s">
        <v>21</v>
      </c>
      <c r="B34" t="s">
        <v>38</v>
      </c>
      <c r="C34" t="s">
        <v>5</v>
      </c>
      <c r="D34" t="s">
        <v>632</v>
      </c>
      <c r="E34" t="s">
        <v>6</v>
      </c>
      <c r="F34" s="1" t="s">
        <v>144</v>
      </c>
      <c r="G34" t="s">
        <v>143</v>
      </c>
      <c r="H34" t="s">
        <v>530</v>
      </c>
      <c r="I34" s="1" t="s">
        <v>458</v>
      </c>
      <c r="J34" t="s">
        <v>139</v>
      </c>
      <c r="K34" s="3" t="s">
        <v>97</v>
      </c>
      <c r="L34" t="s">
        <v>145</v>
      </c>
      <c r="M34" t="s">
        <v>143</v>
      </c>
      <c r="N34" t="s">
        <v>446</v>
      </c>
      <c r="O34" t="s">
        <v>143</v>
      </c>
      <c r="P34" t="s">
        <v>143</v>
      </c>
      <c r="Q34" t="s">
        <v>143</v>
      </c>
      <c r="R34" t="s">
        <v>143</v>
      </c>
      <c r="S34" t="s">
        <v>143</v>
      </c>
      <c r="T34" t="s">
        <v>143</v>
      </c>
      <c r="U34" t="s">
        <v>143</v>
      </c>
      <c r="V34" t="s">
        <v>143</v>
      </c>
      <c r="W34" t="s">
        <v>143</v>
      </c>
      <c r="X34" t="s">
        <v>143</v>
      </c>
      <c r="Y34" t="s">
        <v>143</v>
      </c>
      <c r="Z34" t="s">
        <v>143</v>
      </c>
      <c r="AA34" t="s">
        <v>143</v>
      </c>
      <c r="AB34" t="s">
        <v>143</v>
      </c>
      <c r="AC34" t="s">
        <v>143</v>
      </c>
      <c r="AD34" t="s">
        <v>143</v>
      </c>
      <c r="AE34" t="s">
        <v>143</v>
      </c>
      <c r="AF34" t="s">
        <v>143</v>
      </c>
      <c r="AG34" t="s">
        <v>143</v>
      </c>
      <c r="AH34" t="s">
        <v>143</v>
      </c>
      <c r="AI34" t="s">
        <v>143</v>
      </c>
      <c r="AJ34" t="s">
        <v>143</v>
      </c>
      <c r="AK34" t="s">
        <v>143</v>
      </c>
    </row>
    <row r="35" spans="1:37" ht="18" x14ac:dyDescent="0.2">
      <c r="A35" t="s">
        <v>21</v>
      </c>
      <c r="B35" t="s">
        <v>39</v>
      </c>
      <c r="C35" t="s">
        <v>5</v>
      </c>
      <c r="D35" t="s">
        <v>633</v>
      </c>
      <c r="E35" t="s">
        <v>6</v>
      </c>
      <c r="F35" s="1" t="s">
        <v>144</v>
      </c>
      <c r="G35" t="s">
        <v>143</v>
      </c>
      <c r="H35" t="s">
        <v>530</v>
      </c>
      <c r="I35" s="1" t="s">
        <v>458</v>
      </c>
      <c r="J35" t="s">
        <v>139</v>
      </c>
      <c r="K35" t="s">
        <v>151</v>
      </c>
      <c r="L35" t="s">
        <v>145</v>
      </c>
      <c r="M35" t="s">
        <v>143</v>
      </c>
      <c r="N35" t="s">
        <v>447</v>
      </c>
      <c r="O35" t="s">
        <v>143</v>
      </c>
      <c r="P35" t="s">
        <v>143</v>
      </c>
      <c r="Q35" t="s">
        <v>143</v>
      </c>
      <c r="R35" t="s">
        <v>143</v>
      </c>
      <c r="S35" t="s">
        <v>143</v>
      </c>
      <c r="T35" t="s">
        <v>143</v>
      </c>
      <c r="U35" t="s">
        <v>143</v>
      </c>
      <c r="V35" t="s">
        <v>143</v>
      </c>
      <c r="W35" t="s">
        <v>143</v>
      </c>
      <c r="X35" t="s">
        <v>143</v>
      </c>
      <c r="Y35" t="s">
        <v>143</v>
      </c>
      <c r="Z35" t="s">
        <v>143</v>
      </c>
      <c r="AA35" t="s">
        <v>143</v>
      </c>
      <c r="AB35" t="s">
        <v>143</v>
      </c>
      <c r="AC35" t="s">
        <v>143</v>
      </c>
      <c r="AD35" t="s">
        <v>143</v>
      </c>
      <c r="AE35" t="s">
        <v>143</v>
      </c>
      <c r="AF35" t="s">
        <v>143</v>
      </c>
      <c r="AG35" t="s">
        <v>143</v>
      </c>
      <c r="AH35" t="s">
        <v>143</v>
      </c>
      <c r="AI35" t="s">
        <v>143</v>
      </c>
      <c r="AJ35" t="s">
        <v>143</v>
      </c>
      <c r="AK35" t="s">
        <v>143</v>
      </c>
    </row>
    <row r="36" spans="1:37" ht="18" x14ac:dyDescent="0.2">
      <c r="A36" t="s">
        <v>21</v>
      </c>
      <c r="B36" t="s">
        <v>40</v>
      </c>
      <c r="C36" t="s">
        <v>5</v>
      </c>
      <c r="D36" t="s">
        <v>634</v>
      </c>
      <c r="E36" t="s">
        <v>6</v>
      </c>
      <c r="F36" s="1" t="s">
        <v>144</v>
      </c>
      <c r="G36" t="s">
        <v>143</v>
      </c>
      <c r="H36" t="s">
        <v>530</v>
      </c>
      <c r="I36" s="1" t="s">
        <v>458</v>
      </c>
      <c r="J36" t="s">
        <v>139</v>
      </c>
      <c r="K36" t="s">
        <v>151</v>
      </c>
      <c r="L36" t="s">
        <v>145</v>
      </c>
      <c r="M36" t="s">
        <v>143</v>
      </c>
      <c r="N36" t="s">
        <v>448</v>
      </c>
      <c r="O36" t="s">
        <v>143</v>
      </c>
      <c r="P36" t="s">
        <v>143</v>
      </c>
      <c r="Q36" t="s">
        <v>143</v>
      </c>
      <c r="R36" t="s">
        <v>143</v>
      </c>
      <c r="S36" t="s">
        <v>143</v>
      </c>
      <c r="T36" t="s">
        <v>143</v>
      </c>
      <c r="U36" t="s">
        <v>143</v>
      </c>
      <c r="V36" t="s">
        <v>143</v>
      </c>
      <c r="W36" t="s">
        <v>143</v>
      </c>
      <c r="X36" t="s">
        <v>143</v>
      </c>
      <c r="Y36" t="s">
        <v>143</v>
      </c>
      <c r="Z36" t="s">
        <v>143</v>
      </c>
      <c r="AA36" t="s">
        <v>143</v>
      </c>
      <c r="AB36" t="s">
        <v>143</v>
      </c>
      <c r="AC36" t="s">
        <v>143</v>
      </c>
      <c r="AD36" t="s">
        <v>143</v>
      </c>
      <c r="AE36" t="s">
        <v>143</v>
      </c>
      <c r="AF36" t="s">
        <v>143</v>
      </c>
      <c r="AG36" t="s">
        <v>143</v>
      </c>
      <c r="AH36" t="s">
        <v>143</v>
      </c>
      <c r="AI36" t="s">
        <v>143</v>
      </c>
      <c r="AJ36" t="s">
        <v>143</v>
      </c>
      <c r="AK36" t="s">
        <v>143</v>
      </c>
    </row>
    <row r="37" spans="1:37" ht="18" x14ac:dyDescent="0.2">
      <c r="A37" t="s">
        <v>21</v>
      </c>
      <c r="B37" t="s">
        <v>41</v>
      </c>
      <c r="C37" t="s">
        <v>5</v>
      </c>
      <c r="D37" t="s">
        <v>635</v>
      </c>
      <c r="E37" t="s">
        <v>6</v>
      </c>
      <c r="F37" s="1" t="s">
        <v>144</v>
      </c>
      <c r="G37" t="s">
        <v>143</v>
      </c>
      <c r="H37" t="s">
        <v>530</v>
      </c>
      <c r="I37" s="1" t="s">
        <v>458</v>
      </c>
      <c r="J37" t="s">
        <v>139</v>
      </c>
      <c r="K37" t="s">
        <v>151</v>
      </c>
      <c r="L37" t="s">
        <v>145</v>
      </c>
      <c r="M37" t="s">
        <v>143</v>
      </c>
      <c r="N37" t="s">
        <v>449</v>
      </c>
      <c r="O37" t="s">
        <v>143</v>
      </c>
      <c r="P37" t="s">
        <v>143</v>
      </c>
      <c r="Q37" t="s">
        <v>143</v>
      </c>
      <c r="R37" t="s">
        <v>143</v>
      </c>
      <c r="S37" t="s">
        <v>143</v>
      </c>
      <c r="T37" t="s">
        <v>143</v>
      </c>
      <c r="U37" t="s">
        <v>143</v>
      </c>
      <c r="V37" t="s">
        <v>143</v>
      </c>
      <c r="W37" t="s">
        <v>143</v>
      </c>
      <c r="X37" t="s">
        <v>143</v>
      </c>
      <c r="Y37" t="s">
        <v>143</v>
      </c>
      <c r="Z37" t="s">
        <v>143</v>
      </c>
      <c r="AA37" t="s">
        <v>143</v>
      </c>
      <c r="AB37" t="s">
        <v>143</v>
      </c>
      <c r="AC37" t="s">
        <v>143</v>
      </c>
      <c r="AD37" t="s">
        <v>143</v>
      </c>
      <c r="AE37" t="s">
        <v>143</v>
      </c>
      <c r="AF37" t="s">
        <v>143</v>
      </c>
      <c r="AG37" t="s">
        <v>143</v>
      </c>
      <c r="AH37" t="s">
        <v>143</v>
      </c>
      <c r="AI37" t="s">
        <v>143</v>
      </c>
      <c r="AJ37" t="s">
        <v>143</v>
      </c>
      <c r="AK37" t="s">
        <v>143</v>
      </c>
    </row>
    <row r="38" spans="1:37" ht="18" x14ac:dyDescent="0.2">
      <c r="A38" t="s">
        <v>21</v>
      </c>
      <c r="B38" t="s">
        <v>568</v>
      </c>
      <c r="C38" t="s">
        <v>5</v>
      </c>
      <c r="D38" t="s">
        <v>636</v>
      </c>
      <c r="E38" t="s">
        <v>6</v>
      </c>
      <c r="F38" s="1" t="s">
        <v>144</v>
      </c>
      <c r="G38" t="s">
        <v>143</v>
      </c>
      <c r="H38" t="s">
        <v>530</v>
      </c>
      <c r="I38" s="1" t="s">
        <v>458</v>
      </c>
      <c r="J38" t="s">
        <v>139</v>
      </c>
      <c r="K38" t="s">
        <v>140</v>
      </c>
      <c r="L38" t="s">
        <v>141</v>
      </c>
      <c r="M38" t="s">
        <v>143</v>
      </c>
      <c r="N38" t="s">
        <v>570</v>
      </c>
      <c r="O38" t="s">
        <v>143</v>
      </c>
      <c r="P38" t="s">
        <v>143</v>
      </c>
      <c r="Q38" t="s">
        <v>143</v>
      </c>
      <c r="R38" t="s">
        <v>143</v>
      </c>
      <c r="S38" t="s">
        <v>143</v>
      </c>
      <c r="T38" t="s">
        <v>143</v>
      </c>
      <c r="U38" t="s">
        <v>143</v>
      </c>
      <c r="V38" t="s">
        <v>143</v>
      </c>
      <c r="W38" t="s">
        <v>143</v>
      </c>
      <c r="X38" t="s">
        <v>143</v>
      </c>
      <c r="Y38" t="s">
        <v>143</v>
      </c>
      <c r="Z38" t="s">
        <v>143</v>
      </c>
      <c r="AA38" t="s">
        <v>143</v>
      </c>
      <c r="AB38" t="s">
        <v>143</v>
      </c>
      <c r="AC38" t="s">
        <v>143</v>
      </c>
      <c r="AD38" t="s">
        <v>143</v>
      </c>
      <c r="AE38" t="s">
        <v>143</v>
      </c>
      <c r="AF38" t="s">
        <v>143</v>
      </c>
      <c r="AG38" t="s">
        <v>143</v>
      </c>
      <c r="AH38" t="s">
        <v>143</v>
      </c>
      <c r="AI38" t="s">
        <v>143</v>
      </c>
      <c r="AJ38" t="s">
        <v>143</v>
      </c>
      <c r="AK38" t="s">
        <v>143</v>
      </c>
    </row>
    <row r="39" spans="1:37" ht="19" x14ac:dyDescent="0.25">
      <c r="A39" t="s">
        <v>21</v>
      </c>
      <c r="B39" t="s">
        <v>585</v>
      </c>
      <c r="C39" t="s">
        <v>2</v>
      </c>
      <c r="D39" t="s">
        <v>599</v>
      </c>
      <c r="E39" t="s">
        <v>3</v>
      </c>
      <c r="F39" s="1" t="s">
        <v>142</v>
      </c>
      <c r="G39" s="11" t="s">
        <v>143</v>
      </c>
      <c r="H39" t="s">
        <v>539</v>
      </c>
      <c r="I39" s="1" t="s">
        <v>516</v>
      </c>
      <c r="J39" t="s">
        <v>457</v>
      </c>
      <c r="K39" t="s">
        <v>140</v>
      </c>
      <c r="L39" t="s">
        <v>145</v>
      </c>
      <c r="M39" t="s">
        <v>143</v>
      </c>
      <c r="N39" t="s">
        <v>143</v>
      </c>
      <c r="O39" t="s">
        <v>143</v>
      </c>
      <c r="P39" t="s">
        <v>143</v>
      </c>
      <c r="Q39" t="s">
        <v>143</v>
      </c>
      <c r="R39" t="s">
        <v>143</v>
      </c>
      <c r="S39" t="s">
        <v>143</v>
      </c>
      <c r="T39" t="s">
        <v>143</v>
      </c>
      <c r="U39" s="1" t="s">
        <v>143</v>
      </c>
      <c r="V39" t="s">
        <v>143</v>
      </c>
      <c r="W39" s="1" t="s">
        <v>143</v>
      </c>
      <c r="X39" s="1" t="s">
        <v>143</v>
      </c>
      <c r="Y39" s="1" t="s">
        <v>143</v>
      </c>
      <c r="Z39" s="1" t="s">
        <v>143</v>
      </c>
      <c r="AA39" t="s">
        <v>143</v>
      </c>
      <c r="AB39" t="s">
        <v>143</v>
      </c>
      <c r="AC39" t="s">
        <v>143</v>
      </c>
      <c r="AD39" t="s">
        <v>143</v>
      </c>
      <c r="AE39" t="s">
        <v>143</v>
      </c>
      <c r="AF39" t="s">
        <v>143</v>
      </c>
      <c r="AG39" t="s">
        <v>143</v>
      </c>
      <c r="AH39" t="s">
        <v>143</v>
      </c>
      <c r="AI39" s="1" t="s">
        <v>143</v>
      </c>
      <c r="AJ39" t="s">
        <v>143</v>
      </c>
      <c r="AK39" t="s">
        <v>143</v>
      </c>
    </row>
    <row r="40" spans="1:37" ht="19" x14ac:dyDescent="0.25">
      <c r="A40" t="s">
        <v>21</v>
      </c>
      <c r="B40" t="s">
        <v>586</v>
      </c>
      <c r="C40" t="s">
        <v>2</v>
      </c>
      <c r="D40" t="s">
        <v>600</v>
      </c>
      <c r="E40" t="s">
        <v>3</v>
      </c>
      <c r="F40" s="1" t="s">
        <v>142</v>
      </c>
      <c r="G40" s="11" t="s">
        <v>143</v>
      </c>
      <c r="H40" t="s">
        <v>540</v>
      </c>
      <c r="I40" s="1" t="s">
        <v>517</v>
      </c>
      <c r="J40" s="1" t="s">
        <v>457</v>
      </c>
      <c r="K40" t="s">
        <v>518</v>
      </c>
      <c r="L40" t="s">
        <v>522</v>
      </c>
      <c r="M40" t="s">
        <v>143</v>
      </c>
      <c r="N40" t="s">
        <v>143</v>
      </c>
      <c r="O40" t="s">
        <v>143</v>
      </c>
      <c r="P40" t="s">
        <v>143</v>
      </c>
      <c r="Q40" t="s">
        <v>143</v>
      </c>
      <c r="R40" t="s">
        <v>143</v>
      </c>
      <c r="S40" t="s">
        <v>143</v>
      </c>
      <c r="T40" t="s">
        <v>143</v>
      </c>
      <c r="U40" s="1" t="s">
        <v>143</v>
      </c>
      <c r="V40" t="s">
        <v>143</v>
      </c>
      <c r="W40" s="1" t="s">
        <v>143</v>
      </c>
      <c r="X40" s="1" t="s">
        <v>143</v>
      </c>
      <c r="Y40" s="1" t="s">
        <v>143</v>
      </c>
      <c r="Z40" s="1" t="s">
        <v>143</v>
      </c>
      <c r="AA40" t="s">
        <v>143</v>
      </c>
      <c r="AB40" t="s">
        <v>143</v>
      </c>
      <c r="AC40" t="s">
        <v>143</v>
      </c>
      <c r="AD40" t="s">
        <v>143</v>
      </c>
      <c r="AE40" t="s">
        <v>143</v>
      </c>
      <c r="AF40" t="s">
        <v>143</v>
      </c>
      <c r="AG40" t="s">
        <v>143</v>
      </c>
      <c r="AH40" t="s">
        <v>143</v>
      </c>
      <c r="AI40" s="1" t="s">
        <v>143</v>
      </c>
      <c r="AJ40" t="s">
        <v>143</v>
      </c>
      <c r="AK40" t="s">
        <v>143</v>
      </c>
    </row>
    <row r="41" spans="1:37" ht="18" x14ac:dyDescent="0.2">
      <c r="A41" t="s">
        <v>21</v>
      </c>
      <c r="B41" t="s">
        <v>42</v>
      </c>
      <c r="C41" t="s">
        <v>5</v>
      </c>
      <c r="D41" t="s">
        <v>637</v>
      </c>
      <c r="E41" t="s">
        <v>6</v>
      </c>
      <c r="F41" s="1" t="s">
        <v>142</v>
      </c>
      <c r="G41" t="s">
        <v>178</v>
      </c>
      <c r="H41" t="s">
        <v>541</v>
      </c>
      <c r="I41" t="s">
        <v>177</v>
      </c>
      <c r="J41" t="s">
        <v>457</v>
      </c>
      <c r="K41" t="s">
        <v>140</v>
      </c>
      <c r="L41" t="s">
        <v>145</v>
      </c>
      <c r="M41" t="s">
        <v>143</v>
      </c>
      <c r="N41" t="s">
        <v>143</v>
      </c>
      <c r="O41" t="s">
        <v>143</v>
      </c>
      <c r="P41" t="s">
        <v>143</v>
      </c>
      <c r="Q41" t="s">
        <v>143</v>
      </c>
      <c r="R41" t="s">
        <v>143</v>
      </c>
      <c r="S41" t="s">
        <v>143</v>
      </c>
      <c r="T41" t="s">
        <v>143</v>
      </c>
      <c r="U41" t="s">
        <v>180</v>
      </c>
      <c r="V41" t="s">
        <v>556</v>
      </c>
      <c r="W41" t="s">
        <v>179</v>
      </c>
      <c r="X41" s="1" t="s">
        <v>139</v>
      </c>
      <c r="Y41" s="9" t="s">
        <v>183</v>
      </c>
      <c r="Z41" t="s">
        <v>145</v>
      </c>
      <c r="AA41" t="s">
        <v>143</v>
      </c>
      <c r="AB41" t="s">
        <v>143</v>
      </c>
      <c r="AC41" t="s">
        <v>143</v>
      </c>
      <c r="AD41" t="s">
        <v>143</v>
      </c>
      <c r="AE41" t="s">
        <v>143</v>
      </c>
      <c r="AF41" t="s">
        <v>143</v>
      </c>
      <c r="AG41" t="s">
        <v>143</v>
      </c>
      <c r="AH41" t="s">
        <v>143</v>
      </c>
      <c r="AI41" t="s">
        <v>147</v>
      </c>
      <c r="AJ41" t="s">
        <v>143</v>
      </c>
      <c r="AK41" t="s">
        <v>143</v>
      </c>
    </row>
    <row r="42" spans="1:37" ht="18" x14ac:dyDescent="0.2">
      <c r="A42" t="s">
        <v>43</v>
      </c>
      <c r="B42" t="s">
        <v>44</v>
      </c>
      <c r="C42" t="s">
        <v>5</v>
      </c>
      <c r="D42" t="s">
        <v>643</v>
      </c>
      <c r="E42" t="s">
        <v>6</v>
      </c>
      <c r="F42" s="1" t="s">
        <v>144</v>
      </c>
      <c r="G42" t="s">
        <v>468</v>
      </c>
      <c r="H42" t="s">
        <v>542</v>
      </c>
      <c r="I42" s="1" t="s">
        <v>467</v>
      </c>
      <c r="J42" t="s">
        <v>139</v>
      </c>
      <c r="K42" s="9" t="s">
        <v>417</v>
      </c>
      <c r="L42" t="s">
        <v>145</v>
      </c>
      <c r="M42" t="s">
        <v>143</v>
      </c>
      <c r="N42" t="s">
        <v>143</v>
      </c>
      <c r="O42" t="s">
        <v>143</v>
      </c>
      <c r="P42" t="s">
        <v>143</v>
      </c>
      <c r="Q42" t="s">
        <v>143</v>
      </c>
      <c r="R42" t="s">
        <v>143</v>
      </c>
      <c r="S42" t="s">
        <v>143</v>
      </c>
      <c r="T42" t="s">
        <v>143</v>
      </c>
      <c r="U42" s="1" t="s">
        <v>143</v>
      </c>
      <c r="V42" t="s">
        <v>143</v>
      </c>
      <c r="W42" s="1" t="s">
        <v>143</v>
      </c>
      <c r="X42" s="1" t="s">
        <v>143</v>
      </c>
      <c r="Y42" s="1" t="s">
        <v>143</v>
      </c>
      <c r="Z42" s="1" t="s">
        <v>143</v>
      </c>
      <c r="AA42" t="s">
        <v>143</v>
      </c>
      <c r="AB42" t="s">
        <v>143</v>
      </c>
      <c r="AC42" t="s">
        <v>143</v>
      </c>
      <c r="AD42" t="s">
        <v>143</v>
      </c>
      <c r="AE42" t="s">
        <v>143</v>
      </c>
      <c r="AF42" t="s">
        <v>143</v>
      </c>
      <c r="AG42" t="s">
        <v>143</v>
      </c>
      <c r="AH42" t="s">
        <v>143</v>
      </c>
      <c r="AI42" s="1" t="s">
        <v>143</v>
      </c>
      <c r="AJ42" t="s">
        <v>143</v>
      </c>
      <c r="AK42" t="s">
        <v>143</v>
      </c>
    </row>
    <row r="43" spans="1:37" ht="18" x14ac:dyDescent="0.2">
      <c r="A43" t="s">
        <v>43</v>
      </c>
      <c r="B43" t="s">
        <v>45</v>
      </c>
      <c r="C43" t="s">
        <v>5</v>
      </c>
      <c r="D43" t="s">
        <v>644</v>
      </c>
      <c r="E43" t="s">
        <v>6</v>
      </c>
      <c r="F43" s="1" t="s">
        <v>144</v>
      </c>
      <c r="G43" t="s">
        <v>469</v>
      </c>
      <c r="H43" t="s">
        <v>543</v>
      </c>
      <c r="I43" s="1" t="s">
        <v>470</v>
      </c>
      <c r="J43" t="s">
        <v>139</v>
      </c>
      <c r="K43" s="9" t="s">
        <v>417</v>
      </c>
      <c r="L43" t="s">
        <v>145</v>
      </c>
      <c r="M43" t="s">
        <v>143</v>
      </c>
      <c r="N43" t="s">
        <v>143</v>
      </c>
      <c r="O43" t="s">
        <v>143</v>
      </c>
      <c r="P43" t="s">
        <v>143</v>
      </c>
      <c r="Q43" t="s">
        <v>143</v>
      </c>
      <c r="R43" t="s">
        <v>143</v>
      </c>
      <c r="S43" t="s">
        <v>143</v>
      </c>
      <c r="T43" t="s">
        <v>143</v>
      </c>
      <c r="U43" s="1" t="s">
        <v>143</v>
      </c>
      <c r="V43" t="s">
        <v>143</v>
      </c>
      <c r="W43" s="1" t="s">
        <v>143</v>
      </c>
      <c r="X43" s="1" t="s">
        <v>143</v>
      </c>
      <c r="Y43" s="1" t="s">
        <v>143</v>
      </c>
      <c r="Z43" s="1" t="s">
        <v>143</v>
      </c>
      <c r="AA43" t="s">
        <v>143</v>
      </c>
      <c r="AB43" t="s">
        <v>143</v>
      </c>
      <c r="AC43" t="s">
        <v>143</v>
      </c>
      <c r="AD43" t="s">
        <v>143</v>
      </c>
      <c r="AE43" t="s">
        <v>143</v>
      </c>
      <c r="AF43" t="s">
        <v>143</v>
      </c>
      <c r="AG43" t="s">
        <v>143</v>
      </c>
      <c r="AH43" t="s">
        <v>143</v>
      </c>
      <c r="AI43" s="1" t="s">
        <v>143</v>
      </c>
      <c r="AJ43" t="s">
        <v>143</v>
      </c>
      <c r="AK43" t="s">
        <v>143</v>
      </c>
    </row>
    <row r="44" spans="1:37" ht="18" x14ac:dyDescent="0.2">
      <c r="A44" t="s">
        <v>46</v>
      </c>
      <c r="B44" t="s">
        <v>587</v>
      </c>
      <c r="C44" t="s">
        <v>2</v>
      </c>
      <c r="D44" t="s">
        <v>642</v>
      </c>
      <c r="E44" t="s">
        <v>3</v>
      </c>
      <c r="F44" s="1" t="s">
        <v>142</v>
      </c>
      <c r="G44" t="s">
        <v>464</v>
      </c>
      <c r="H44" t="s">
        <v>544</v>
      </c>
      <c r="I44" t="s">
        <v>465</v>
      </c>
      <c r="J44" t="s">
        <v>457</v>
      </c>
      <c r="K44" t="s">
        <v>229</v>
      </c>
      <c r="L44" t="s">
        <v>145</v>
      </c>
      <c r="M44" t="s">
        <v>143</v>
      </c>
      <c r="N44" t="s">
        <v>143</v>
      </c>
      <c r="O44" t="s">
        <v>143</v>
      </c>
      <c r="P44" t="s">
        <v>143</v>
      </c>
      <c r="Q44" t="s">
        <v>143</v>
      </c>
      <c r="R44" t="s">
        <v>143</v>
      </c>
      <c r="S44" t="s">
        <v>143</v>
      </c>
      <c r="T44" t="s">
        <v>143</v>
      </c>
      <c r="U44" s="1" t="s">
        <v>143</v>
      </c>
      <c r="V44" t="s">
        <v>143</v>
      </c>
      <c r="W44" s="1" t="s">
        <v>143</v>
      </c>
      <c r="X44" s="1" t="s">
        <v>143</v>
      </c>
      <c r="Y44" s="1" t="s">
        <v>143</v>
      </c>
      <c r="Z44" s="1" t="s">
        <v>143</v>
      </c>
      <c r="AA44" t="s">
        <v>143</v>
      </c>
      <c r="AB44" t="s">
        <v>143</v>
      </c>
      <c r="AC44" t="s">
        <v>143</v>
      </c>
      <c r="AD44" t="s">
        <v>143</v>
      </c>
      <c r="AE44" t="s">
        <v>143</v>
      </c>
      <c r="AF44" t="s">
        <v>143</v>
      </c>
      <c r="AG44" t="s">
        <v>143</v>
      </c>
      <c r="AH44" t="s">
        <v>143</v>
      </c>
      <c r="AI44" s="1" t="s">
        <v>143</v>
      </c>
      <c r="AJ44" t="s">
        <v>143</v>
      </c>
      <c r="AK44" t="s">
        <v>143</v>
      </c>
    </row>
    <row r="45" spans="1:37" ht="18" x14ac:dyDescent="0.2">
      <c r="A45" t="s">
        <v>46</v>
      </c>
      <c r="B45" t="s">
        <v>47</v>
      </c>
      <c r="C45" t="s">
        <v>5</v>
      </c>
      <c r="D45" t="s">
        <v>641</v>
      </c>
      <c r="E45" t="s">
        <v>6</v>
      </c>
      <c r="F45" s="1" t="s">
        <v>142</v>
      </c>
      <c r="G45" t="s">
        <v>464</v>
      </c>
      <c r="H45" t="s">
        <v>544</v>
      </c>
      <c r="I45" t="s">
        <v>465</v>
      </c>
      <c r="J45" t="s">
        <v>457</v>
      </c>
      <c r="K45" t="s">
        <v>229</v>
      </c>
      <c r="L45" t="s">
        <v>145</v>
      </c>
      <c r="M45" t="s">
        <v>143</v>
      </c>
      <c r="N45" t="s">
        <v>143</v>
      </c>
      <c r="O45" t="s">
        <v>143</v>
      </c>
      <c r="P45" t="s">
        <v>143</v>
      </c>
      <c r="Q45" t="s">
        <v>143</v>
      </c>
      <c r="R45" t="s">
        <v>143</v>
      </c>
      <c r="S45" t="s">
        <v>143</v>
      </c>
      <c r="T45" t="s">
        <v>143</v>
      </c>
      <c r="U45" t="s">
        <v>462</v>
      </c>
      <c r="V45" t="s">
        <v>557</v>
      </c>
      <c r="W45" t="s">
        <v>463</v>
      </c>
      <c r="X45" s="1" t="s">
        <v>139</v>
      </c>
      <c r="Y45" t="s">
        <v>229</v>
      </c>
      <c r="Z45" t="s">
        <v>145</v>
      </c>
      <c r="AA45" t="s">
        <v>143</v>
      </c>
      <c r="AB45" t="s">
        <v>143</v>
      </c>
      <c r="AC45" t="s">
        <v>143</v>
      </c>
      <c r="AD45" t="s">
        <v>143</v>
      </c>
      <c r="AE45" t="s">
        <v>143</v>
      </c>
      <c r="AF45" t="s">
        <v>143</v>
      </c>
      <c r="AG45" t="s">
        <v>143</v>
      </c>
      <c r="AH45" t="s">
        <v>143</v>
      </c>
      <c r="AI45" t="s">
        <v>147</v>
      </c>
      <c r="AJ45" t="s">
        <v>143</v>
      </c>
      <c r="AK45" t="s">
        <v>143</v>
      </c>
    </row>
    <row r="46" spans="1:37" ht="18" x14ac:dyDescent="0.2">
      <c r="A46" t="s">
        <v>48</v>
      </c>
      <c r="B46" t="s">
        <v>560</v>
      </c>
      <c r="C46" t="s">
        <v>2</v>
      </c>
      <c r="D46" t="s">
        <v>601</v>
      </c>
      <c r="E46" t="s">
        <v>3</v>
      </c>
      <c r="F46" s="1" t="s">
        <v>142</v>
      </c>
      <c r="G46" t="s">
        <v>49</v>
      </c>
      <c r="H46" t="s">
        <v>545</v>
      </c>
      <c r="I46" t="s">
        <v>70</v>
      </c>
      <c r="J46" t="s">
        <v>457</v>
      </c>
      <c r="K46" t="s">
        <v>143</v>
      </c>
      <c r="L46" t="s">
        <v>145</v>
      </c>
      <c r="M46" t="s">
        <v>143</v>
      </c>
      <c r="N46" t="s">
        <v>143</v>
      </c>
      <c r="O46" t="s">
        <v>143</v>
      </c>
      <c r="P46" t="s">
        <v>143</v>
      </c>
      <c r="Q46" t="s">
        <v>143</v>
      </c>
      <c r="R46" t="s">
        <v>143</v>
      </c>
      <c r="S46" t="s">
        <v>143</v>
      </c>
      <c r="T46" t="s">
        <v>143</v>
      </c>
      <c r="U46" s="1" t="s">
        <v>143</v>
      </c>
      <c r="V46" t="s">
        <v>143</v>
      </c>
      <c r="W46" s="1" t="s">
        <v>143</v>
      </c>
      <c r="X46" s="1" t="s">
        <v>143</v>
      </c>
      <c r="Y46" s="1" t="s">
        <v>143</v>
      </c>
      <c r="Z46" s="1" t="s">
        <v>143</v>
      </c>
      <c r="AA46" t="s">
        <v>143</v>
      </c>
      <c r="AB46" t="s">
        <v>143</v>
      </c>
      <c r="AC46" t="s">
        <v>143</v>
      </c>
      <c r="AD46" t="s">
        <v>143</v>
      </c>
      <c r="AE46" t="s">
        <v>143</v>
      </c>
      <c r="AF46" t="s">
        <v>143</v>
      </c>
      <c r="AG46" t="s">
        <v>143</v>
      </c>
      <c r="AH46" t="s">
        <v>143</v>
      </c>
      <c r="AI46" s="1" t="s">
        <v>143</v>
      </c>
      <c r="AJ46" t="s">
        <v>143</v>
      </c>
      <c r="AK46" t="s">
        <v>143</v>
      </c>
    </row>
    <row r="47" spans="1:37" ht="18" x14ac:dyDescent="0.2">
      <c r="A47" s="10" t="s">
        <v>48</v>
      </c>
      <c r="B47" t="s">
        <v>588</v>
      </c>
      <c r="C47" t="s">
        <v>2</v>
      </c>
      <c r="D47" t="s">
        <v>602</v>
      </c>
      <c r="E47" t="s">
        <v>3</v>
      </c>
      <c r="F47" s="1" t="s">
        <v>142</v>
      </c>
      <c r="G47" t="s">
        <v>71</v>
      </c>
      <c r="H47" t="s">
        <v>546</v>
      </c>
      <c r="I47" t="s">
        <v>72</v>
      </c>
      <c r="J47" t="s">
        <v>457</v>
      </c>
      <c r="K47" t="s">
        <v>143</v>
      </c>
      <c r="L47" t="s">
        <v>143</v>
      </c>
      <c r="M47" t="s">
        <v>195</v>
      </c>
      <c r="N47" t="s">
        <v>360</v>
      </c>
      <c r="O47" t="s">
        <v>143</v>
      </c>
      <c r="P47" t="s">
        <v>143</v>
      </c>
      <c r="Q47" t="s">
        <v>143</v>
      </c>
      <c r="R47" t="s">
        <v>143</v>
      </c>
      <c r="S47" t="s">
        <v>143</v>
      </c>
      <c r="T47" t="s">
        <v>143</v>
      </c>
      <c r="U47" s="1" t="s">
        <v>143</v>
      </c>
      <c r="V47" t="s">
        <v>143</v>
      </c>
      <c r="W47" s="1" t="s">
        <v>143</v>
      </c>
      <c r="X47" s="1" t="s">
        <v>143</v>
      </c>
      <c r="Y47" s="1" t="s">
        <v>143</v>
      </c>
      <c r="Z47" s="1" t="s">
        <v>143</v>
      </c>
      <c r="AA47" t="s">
        <v>143</v>
      </c>
      <c r="AB47" t="s">
        <v>143</v>
      </c>
      <c r="AC47" t="s">
        <v>143</v>
      </c>
      <c r="AD47" t="s">
        <v>143</v>
      </c>
      <c r="AE47" t="s">
        <v>143</v>
      </c>
      <c r="AF47" t="s">
        <v>143</v>
      </c>
      <c r="AG47" t="s">
        <v>143</v>
      </c>
      <c r="AH47" t="s">
        <v>143</v>
      </c>
      <c r="AI47" s="1" t="s">
        <v>143</v>
      </c>
      <c r="AJ47" t="s">
        <v>143</v>
      </c>
      <c r="AK47" t="s">
        <v>143</v>
      </c>
    </row>
    <row r="48" spans="1:37" ht="18" x14ac:dyDescent="0.2">
      <c r="A48" s="10" t="s">
        <v>48</v>
      </c>
      <c r="B48" t="s">
        <v>589</v>
      </c>
      <c r="C48" t="s">
        <v>2</v>
      </c>
      <c r="D48" t="s">
        <v>603</v>
      </c>
      <c r="E48" t="s">
        <v>3</v>
      </c>
      <c r="F48" s="1" t="s">
        <v>142</v>
      </c>
      <c r="G48" t="s">
        <v>71</v>
      </c>
      <c r="H48" t="s">
        <v>546</v>
      </c>
      <c r="I48" t="s">
        <v>72</v>
      </c>
      <c r="J48" t="s">
        <v>457</v>
      </c>
      <c r="K48" t="s">
        <v>143</v>
      </c>
      <c r="L48" t="s">
        <v>143</v>
      </c>
      <c r="M48" t="s">
        <v>195</v>
      </c>
      <c r="N48" t="s">
        <v>361</v>
      </c>
      <c r="O48" t="s">
        <v>143</v>
      </c>
      <c r="P48" t="s">
        <v>143</v>
      </c>
      <c r="Q48" t="s">
        <v>143</v>
      </c>
      <c r="R48" t="s">
        <v>143</v>
      </c>
      <c r="S48" t="s">
        <v>143</v>
      </c>
      <c r="T48" t="s">
        <v>143</v>
      </c>
      <c r="U48" s="1" t="s">
        <v>143</v>
      </c>
      <c r="V48" t="s">
        <v>143</v>
      </c>
      <c r="W48" s="1" t="s">
        <v>143</v>
      </c>
      <c r="X48" s="1" t="s">
        <v>143</v>
      </c>
      <c r="Y48" s="1" t="s">
        <v>143</v>
      </c>
      <c r="Z48" s="1" t="s">
        <v>143</v>
      </c>
      <c r="AA48" t="s">
        <v>143</v>
      </c>
      <c r="AB48" t="s">
        <v>143</v>
      </c>
      <c r="AC48" t="s">
        <v>143</v>
      </c>
      <c r="AD48" t="s">
        <v>143</v>
      </c>
      <c r="AE48" t="s">
        <v>143</v>
      </c>
      <c r="AF48" t="s">
        <v>143</v>
      </c>
      <c r="AG48" t="s">
        <v>143</v>
      </c>
      <c r="AH48" t="s">
        <v>143</v>
      </c>
      <c r="AI48" s="1" t="s">
        <v>143</v>
      </c>
      <c r="AJ48" t="s">
        <v>143</v>
      </c>
      <c r="AK48" t="s">
        <v>143</v>
      </c>
    </row>
    <row r="49" spans="1:37" ht="18" x14ac:dyDescent="0.2">
      <c r="A49" t="s">
        <v>48</v>
      </c>
      <c r="B49" t="s">
        <v>590</v>
      </c>
      <c r="C49" t="s">
        <v>2</v>
      </c>
      <c r="D49" t="s">
        <v>604</v>
      </c>
      <c r="E49" t="s">
        <v>3</v>
      </c>
      <c r="F49" s="1" t="s">
        <v>142</v>
      </c>
      <c r="G49" t="s">
        <v>50</v>
      </c>
      <c r="H49" t="s">
        <v>547</v>
      </c>
      <c r="I49" t="s">
        <v>73</v>
      </c>
      <c r="J49" t="s">
        <v>457</v>
      </c>
      <c r="K49" t="s">
        <v>143</v>
      </c>
      <c r="L49" t="s">
        <v>143</v>
      </c>
      <c r="M49" t="s">
        <v>195</v>
      </c>
      <c r="N49" t="s">
        <v>143</v>
      </c>
      <c r="O49" t="s">
        <v>143</v>
      </c>
      <c r="P49" t="s">
        <v>143</v>
      </c>
      <c r="Q49" t="s">
        <v>143</v>
      </c>
      <c r="R49" t="s">
        <v>143</v>
      </c>
      <c r="S49" t="s">
        <v>143</v>
      </c>
      <c r="T49" t="s">
        <v>143</v>
      </c>
      <c r="U49" s="1" t="s">
        <v>143</v>
      </c>
      <c r="V49" t="s">
        <v>143</v>
      </c>
      <c r="W49" s="1" t="s">
        <v>143</v>
      </c>
      <c r="X49" s="1" t="s">
        <v>143</v>
      </c>
      <c r="Y49" s="1" t="s">
        <v>143</v>
      </c>
      <c r="Z49" s="1" t="s">
        <v>143</v>
      </c>
      <c r="AA49" t="s">
        <v>143</v>
      </c>
      <c r="AB49" t="s">
        <v>143</v>
      </c>
      <c r="AC49" t="s">
        <v>143</v>
      </c>
      <c r="AD49" t="s">
        <v>143</v>
      </c>
      <c r="AE49" t="s">
        <v>143</v>
      </c>
      <c r="AF49" t="s">
        <v>143</v>
      </c>
      <c r="AG49" t="s">
        <v>143</v>
      </c>
      <c r="AH49" t="s">
        <v>143</v>
      </c>
      <c r="AI49" s="1" t="s">
        <v>143</v>
      </c>
      <c r="AJ49" t="s">
        <v>143</v>
      </c>
      <c r="AK49" t="s">
        <v>143</v>
      </c>
    </row>
    <row r="50" spans="1:37" ht="18" x14ac:dyDescent="0.2">
      <c r="A50" t="s">
        <v>52</v>
      </c>
      <c r="B50" t="s">
        <v>591</v>
      </c>
      <c r="C50" t="s">
        <v>2</v>
      </c>
      <c r="D50" t="s">
        <v>605</v>
      </c>
      <c r="E50" t="s">
        <v>3</v>
      </c>
      <c r="F50" s="1" t="s">
        <v>142</v>
      </c>
      <c r="G50" t="s">
        <v>53</v>
      </c>
      <c r="H50" t="s">
        <v>548</v>
      </c>
      <c r="I50" t="s">
        <v>75</v>
      </c>
      <c r="J50" t="s">
        <v>457</v>
      </c>
      <c r="K50" t="s">
        <v>140</v>
      </c>
      <c r="L50" t="s">
        <v>145</v>
      </c>
      <c r="M50" t="s">
        <v>143</v>
      </c>
      <c r="N50" t="s">
        <v>143</v>
      </c>
      <c r="O50" t="s">
        <v>143</v>
      </c>
      <c r="P50" t="s">
        <v>143</v>
      </c>
      <c r="Q50" t="s">
        <v>143</v>
      </c>
      <c r="R50" t="s">
        <v>143</v>
      </c>
      <c r="S50" t="s">
        <v>143</v>
      </c>
      <c r="T50" t="s">
        <v>143</v>
      </c>
      <c r="U50" s="1" t="s">
        <v>143</v>
      </c>
      <c r="V50" t="s">
        <v>143</v>
      </c>
      <c r="W50" s="1" t="s">
        <v>143</v>
      </c>
      <c r="X50" s="1" t="s">
        <v>143</v>
      </c>
      <c r="Y50" s="1" t="s">
        <v>143</v>
      </c>
      <c r="Z50" s="1" t="s">
        <v>143</v>
      </c>
      <c r="AA50" t="s">
        <v>143</v>
      </c>
      <c r="AB50" t="s">
        <v>143</v>
      </c>
      <c r="AC50" t="s">
        <v>143</v>
      </c>
      <c r="AD50" t="s">
        <v>143</v>
      </c>
      <c r="AE50" t="s">
        <v>143</v>
      </c>
      <c r="AF50" t="s">
        <v>143</v>
      </c>
      <c r="AG50" t="s">
        <v>143</v>
      </c>
      <c r="AH50" t="s">
        <v>143</v>
      </c>
      <c r="AI50" s="1" t="s">
        <v>143</v>
      </c>
      <c r="AJ50" t="s">
        <v>143</v>
      </c>
      <c r="AK50" t="s">
        <v>143</v>
      </c>
    </row>
    <row r="51" spans="1:37" ht="18" x14ac:dyDescent="0.2">
      <c r="A51" t="s">
        <v>52</v>
      </c>
      <c r="B51" t="s">
        <v>54</v>
      </c>
      <c r="C51" t="s">
        <v>5</v>
      </c>
      <c r="D51" t="s">
        <v>638</v>
      </c>
      <c r="E51" t="s">
        <v>6</v>
      </c>
      <c r="F51" s="1" t="s">
        <v>142</v>
      </c>
      <c r="G51" t="s">
        <v>53</v>
      </c>
      <c r="H51" t="s">
        <v>548</v>
      </c>
      <c r="I51" t="s">
        <v>75</v>
      </c>
      <c r="J51" t="s">
        <v>457</v>
      </c>
      <c r="K51" t="s">
        <v>140</v>
      </c>
      <c r="L51" t="s">
        <v>145</v>
      </c>
      <c r="M51" t="s">
        <v>143</v>
      </c>
      <c r="N51" t="s">
        <v>143</v>
      </c>
      <c r="O51" t="s">
        <v>143</v>
      </c>
      <c r="P51" t="s">
        <v>143</v>
      </c>
      <c r="Q51" t="s">
        <v>143</v>
      </c>
      <c r="R51" t="s">
        <v>143</v>
      </c>
      <c r="S51" t="s">
        <v>143</v>
      </c>
      <c r="T51" t="s">
        <v>143</v>
      </c>
      <c r="U51" t="s">
        <v>181</v>
      </c>
      <c r="V51" t="s">
        <v>558</v>
      </c>
      <c r="W51" t="s">
        <v>182</v>
      </c>
      <c r="X51" s="1" t="s">
        <v>139</v>
      </c>
      <c r="Y51" s="9" t="s">
        <v>183</v>
      </c>
      <c r="Z51" t="s">
        <v>145</v>
      </c>
      <c r="AA51" t="s">
        <v>143</v>
      </c>
      <c r="AB51" t="s">
        <v>143</v>
      </c>
      <c r="AC51" t="s">
        <v>143</v>
      </c>
      <c r="AD51" t="s">
        <v>143</v>
      </c>
      <c r="AE51" t="s">
        <v>143</v>
      </c>
      <c r="AF51" t="s">
        <v>143</v>
      </c>
      <c r="AG51" t="s">
        <v>143</v>
      </c>
      <c r="AH51" t="s">
        <v>143</v>
      </c>
      <c r="AI51" t="s">
        <v>147</v>
      </c>
      <c r="AJ51" t="s">
        <v>143</v>
      </c>
      <c r="AK51" t="s">
        <v>143</v>
      </c>
    </row>
    <row r="52" spans="1:37" ht="18" x14ac:dyDescent="0.2">
      <c r="A52" t="s">
        <v>55</v>
      </c>
      <c r="B52" t="s">
        <v>592</v>
      </c>
      <c r="C52" t="s">
        <v>2</v>
      </c>
      <c r="D52" t="s">
        <v>606</v>
      </c>
      <c r="E52" t="s">
        <v>3</v>
      </c>
      <c r="F52" s="1" t="s">
        <v>142</v>
      </c>
      <c r="G52" t="s">
        <v>56</v>
      </c>
      <c r="H52" t="s">
        <v>549</v>
      </c>
      <c r="I52" t="s">
        <v>76</v>
      </c>
      <c r="J52" t="s">
        <v>457</v>
      </c>
      <c r="K52" t="s">
        <v>155</v>
      </c>
      <c r="L52" t="s">
        <v>145</v>
      </c>
      <c r="M52" t="s">
        <v>143</v>
      </c>
      <c r="N52" t="s">
        <v>143</v>
      </c>
      <c r="O52" t="s">
        <v>143</v>
      </c>
      <c r="P52" t="s">
        <v>143</v>
      </c>
      <c r="Q52" t="s">
        <v>143</v>
      </c>
      <c r="R52" t="s">
        <v>143</v>
      </c>
      <c r="S52" t="s">
        <v>143</v>
      </c>
      <c r="T52" t="s">
        <v>143</v>
      </c>
      <c r="U52" s="1" t="s">
        <v>143</v>
      </c>
      <c r="V52" t="s">
        <v>143</v>
      </c>
      <c r="W52" s="1" t="s">
        <v>143</v>
      </c>
      <c r="X52" s="1" t="s">
        <v>143</v>
      </c>
      <c r="Y52" s="1" t="s">
        <v>143</v>
      </c>
      <c r="Z52" s="1" t="s">
        <v>143</v>
      </c>
      <c r="AA52" t="s">
        <v>143</v>
      </c>
      <c r="AB52" t="s">
        <v>143</v>
      </c>
      <c r="AC52" t="s">
        <v>143</v>
      </c>
      <c r="AD52" t="s">
        <v>143</v>
      </c>
      <c r="AE52" t="s">
        <v>143</v>
      </c>
      <c r="AF52" t="s">
        <v>143</v>
      </c>
      <c r="AG52" t="s">
        <v>143</v>
      </c>
      <c r="AH52" t="s">
        <v>143</v>
      </c>
      <c r="AI52" s="1" t="s">
        <v>143</v>
      </c>
      <c r="AJ52" t="s">
        <v>143</v>
      </c>
      <c r="AK52" t="s">
        <v>143</v>
      </c>
    </row>
    <row r="53" spans="1:37" ht="18" x14ac:dyDescent="0.2">
      <c r="A53" t="s">
        <v>55</v>
      </c>
      <c r="B53" t="s">
        <v>593</v>
      </c>
      <c r="C53" t="s">
        <v>2</v>
      </c>
      <c r="D53" t="s">
        <v>595</v>
      </c>
      <c r="E53" t="s">
        <v>3</v>
      </c>
      <c r="F53" s="1" t="s">
        <v>142</v>
      </c>
      <c r="G53" s="1" t="s">
        <v>572</v>
      </c>
      <c r="H53" t="s">
        <v>573</v>
      </c>
      <c r="I53" t="s">
        <v>574</v>
      </c>
      <c r="J53" t="s">
        <v>457</v>
      </c>
      <c r="K53" t="s">
        <v>155</v>
      </c>
      <c r="L53" t="s">
        <v>145</v>
      </c>
      <c r="M53" t="s">
        <v>143</v>
      </c>
      <c r="N53" t="s">
        <v>143</v>
      </c>
      <c r="O53" t="s">
        <v>143</v>
      </c>
      <c r="P53" t="s">
        <v>143</v>
      </c>
      <c r="Q53" t="s">
        <v>143</v>
      </c>
      <c r="R53" t="s">
        <v>143</v>
      </c>
      <c r="S53" t="s">
        <v>143</v>
      </c>
      <c r="T53" t="s">
        <v>143</v>
      </c>
      <c r="U53" s="1" t="s">
        <v>143</v>
      </c>
      <c r="V53" t="s">
        <v>143</v>
      </c>
      <c r="W53" s="1" t="s">
        <v>143</v>
      </c>
      <c r="X53" s="1" t="s">
        <v>143</v>
      </c>
      <c r="Y53" s="1" t="s">
        <v>143</v>
      </c>
      <c r="Z53" s="1" t="s">
        <v>143</v>
      </c>
      <c r="AA53" t="s">
        <v>143</v>
      </c>
      <c r="AB53" t="s">
        <v>143</v>
      </c>
      <c r="AC53" t="s">
        <v>143</v>
      </c>
      <c r="AD53" t="s">
        <v>143</v>
      </c>
      <c r="AE53" t="s">
        <v>143</v>
      </c>
      <c r="AF53" t="s">
        <v>143</v>
      </c>
      <c r="AG53" t="s">
        <v>143</v>
      </c>
      <c r="AH53" t="s">
        <v>143</v>
      </c>
      <c r="AI53" s="1" t="s">
        <v>143</v>
      </c>
      <c r="AJ53" t="s">
        <v>143</v>
      </c>
      <c r="AK53" t="s">
        <v>143</v>
      </c>
    </row>
    <row r="54" spans="1:37" ht="18" x14ac:dyDescent="0.2">
      <c r="A54" t="s">
        <v>57</v>
      </c>
      <c r="B54" t="s">
        <v>561</v>
      </c>
      <c r="C54" t="s">
        <v>2</v>
      </c>
      <c r="D54" t="s">
        <v>607</v>
      </c>
      <c r="E54" t="s">
        <v>3</v>
      </c>
      <c r="F54" t="s">
        <v>143</v>
      </c>
      <c r="G54" s="1" t="s">
        <v>77</v>
      </c>
      <c r="H54" t="s">
        <v>550</v>
      </c>
      <c r="I54" t="s">
        <v>78</v>
      </c>
      <c r="J54" t="s">
        <v>457</v>
      </c>
      <c r="K54" t="s">
        <v>143</v>
      </c>
      <c r="L54" t="s">
        <v>143</v>
      </c>
      <c r="M54" t="s">
        <v>143</v>
      </c>
      <c r="N54" t="s">
        <v>143</v>
      </c>
      <c r="O54" t="s">
        <v>143</v>
      </c>
      <c r="P54" t="s">
        <v>143</v>
      </c>
      <c r="Q54" t="s">
        <v>143</v>
      </c>
      <c r="R54" t="s">
        <v>143</v>
      </c>
      <c r="S54" t="s">
        <v>143</v>
      </c>
      <c r="T54" t="s">
        <v>143</v>
      </c>
      <c r="U54" t="s">
        <v>143</v>
      </c>
      <c r="V54" t="s">
        <v>143</v>
      </c>
      <c r="W54" t="s">
        <v>143</v>
      </c>
      <c r="X54" t="s">
        <v>143</v>
      </c>
      <c r="Y54" t="s">
        <v>143</v>
      </c>
      <c r="Z54" t="s">
        <v>143</v>
      </c>
      <c r="AA54" t="s">
        <v>143</v>
      </c>
      <c r="AB54" t="s">
        <v>143</v>
      </c>
      <c r="AC54" t="s">
        <v>143</v>
      </c>
      <c r="AD54" t="s">
        <v>143</v>
      </c>
      <c r="AE54" t="s">
        <v>143</v>
      </c>
      <c r="AF54" t="s">
        <v>143</v>
      </c>
      <c r="AG54" t="s">
        <v>143</v>
      </c>
      <c r="AH54" t="s">
        <v>143</v>
      </c>
      <c r="AI54" t="s">
        <v>143</v>
      </c>
      <c r="AJ54" t="s">
        <v>143</v>
      </c>
      <c r="AK54" t="s">
        <v>143</v>
      </c>
    </row>
    <row r="55" spans="1:37" x14ac:dyDescent="0.2">
      <c r="A55" t="s">
        <v>57</v>
      </c>
      <c r="B55" t="s">
        <v>580</v>
      </c>
      <c r="C55" t="s">
        <v>2</v>
      </c>
      <c r="D55" t="s">
        <v>648</v>
      </c>
      <c r="E55" t="s">
        <v>3</v>
      </c>
      <c r="F55" t="s">
        <v>143</v>
      </c>
      <c r="G55" t="s">
        <v>79</v>
      </c>
      <c r="H55" t="s">
        <v>551</v>
      </c>
      <c r="I55" t="s">
        <v>80</v>
      </c>
      <c r="J55" t="s">
        <v>457</v>
      </c>
      <c r="K55" t="s">
        <v>143</v>
      </c>
      <c r="L55" t="s">
        <v>143</v>
      </c>
      <c r="M55" t="s">
        <v>143</v>
      </c>
      <c r="N55" t="s">
        <v>143</v>
      </c>
      <c r="O55" t="s">
        <v>143</v>
      </c>
      <c r="P55" t="s">
        <v>143</v>
      </c>
      <c r="Q55" t="s">
        <v>143</v>
      </c>
      <c r="R55" t="s">
        <v>143</v>
      </c>
      <c r="S55" t="s">
        <v>143</v>
      </c>
      <c r="T55" t="s">
        <v>143</v>
      </c>
      <c r="U55" t="s">
        <v>143</v>
      </c>
      <c r="V55" t="s">
        <v>143</v>
      </c>
      <c r="W55" t="s">
        <v>143</v>
      </c>
      <c r="X55" t="s">
        <v>143</v>
      </c>
      <c r="Y55" t="s">
        <v>143</v>
      </c>
      <c r="Z55" t="s">
        <v>143</v>
      </c>
      <c r="AA55" t="s">
        <v>143</v>
      </c>
      <c r="AB55" t="s">
        <v>143</v>
      </c>
      <c r="AC55" t="s">
        <v>143</v>
      </c>
      <c r="AD55" t="s">
        <v>143</v>
      </c>
      <c r="AE55" t="s">
        <v>143</v>
      </c>
      <c r="AF55" t="s">
        <v>143</v>
      </c>
      <c r="AG55" t="s">
        <v>143</v>
      </c>
      <c r="AH55" t="s">
        <v>143</v>
      </c>
      <c r="AI55" t="s">
        <v>143</v>
      </c>
      <c r="AJ55" t="s">
        <v>143</v>
      </c>
      <c r="AK55" t="s">
        <v>143</v>
      </c>
    </row>
    <row r="56" spans="1:37" ht="18" x14ac:dyDescent="0.2">
      <c r="A56" t="s">
        <v>57</v>
      </c>
      <c r="B56" t="s">
        <v>58</v>
      </c>
      <c r="C56" t="s">
        <v>5</v>
      </c>
      <c r="D56" t="s">
        <v>639</v>
      </c>
      <c r="E56" t="s">
        <v>6</v>
      </c>
      <c r="F56" s="1" t="s">
        <v>143</v>
      </c>
      <c r="G56" s="1" t="s">
        <v>143</v>
      </c>
      <c r="H56" t="s">
        <v>552</v>
      </c>
      <c r="I56" s="1" t="s">
        <v>466</v>
      </c>
      <c r="J56" t="s">
        <v>457</v>
      </c>
      <c r="K56" t="s">
        <v>143</v>
      </c>
      <c r="L56" t="s">
        <v>143</v>
      </c>
      <c r="M56" t="s">
        <v>143</v>
      </c>
      <c r="N56" t="s">
        <v>143</v>
      </c>
      <c r="O56" t="s">
        <v>143</v>
      </c>
      <c r="P56" t="s">
        <v>143</v>
      </c>
      <c r="Q56" t="s">
        <v>143</v>
      </c>
      <c r="R56" t="s">
        <v>143</v>
      </c>
      <c r="S56" t="s">
        <v>143</v>
      </c>
      <c r="T56" t="s">
        <v>143</v>
      </c>
      <c r="U56" s="1" t="s">
        <v>227</v>
      </c>
      <c r="V56" t="s">
        <v>559</v>
      </c>
      <c r="W56" s="1" t="s">
        <v>228</v>
      </c>
      <c r="X56" s="1" t="s">
        <v>139</v>
      </c>
      <c r="Y56" t="s">
        <v>143</v>
      </c>
      <c r="Z56" t="s">
        <v>143</v>
      </c>
      <c r="AA56" t="s">
        <v>143</v>
      </c>
      <c r="AB56" t="s">
        <v>143</v>
      </c>
      <c r="AC56" t="s">
        <v>143</v>
      </c>
      <c r="AD56" t="s">
        <v>143</v>
      </c>
      <c r="AE56" t="s">
        <v>143</v>
      </c>
      <c r="AF56" t="s">
        <v>143</v>
      </c>
      <c r="AG56" t="s">
        <v>143</v>
      </c>
      <c r="AH56" t="s">
        <v>143</v>
      </c>
      <c r="AI56" t="s">
        <v>147</v>
      </c>
      <c r="AJ56" t="s">
        <v>143</v>
      </c>
      <c r="AK56" t="s">
        <v>143</v>
      </c>
    </row>
    <row r="57" spans="1:37" ht="20" x14ac:dyDescent="0.2">
      <c r="A57" t="s">
        <v>48</v>
      </c>
      <c r="B57" t="s">
        <v>562</v>
      </c>
      <c r="C57" t="s">
        <v>2</v>
      </c>
      <c r="D57" s="18" t="s">
        <v>649</v>
      </c>
      <c r="E57" t="s">
        <v>3</v>
      </c>
      <c r="F57" s="1" t="s">
        <v>142</v>
      </c>
      <c r="G57" s="1" t="s">
        <v>51</v>
      </c>
      <c r="H57" t="s">
        <v>553</v>
      </c>
      <c r="I57" s="14" t="s">
        <v>74</v>
      </c>
      <c r="J57" t="s">
        <v>457</v>
      </c>
      <c r="K57" t="s">
        <v>143</v>
      </c>
      <c r="L57" t="s">
        <v>143</v>
      </c>
      <c r="M57" t="s">
        <v>195</v>
      </c>
      <c r="N57" t="s">
        <v>143</v>
      </c>
      <c r="O57" t="s">
        <v>143</v>
      </c>
      <c r="P57" t="s">
        <v>143</v>
      </c>
      <c r="Q57" t="s">
        <v>143</v>
      </c>
      <c r="R57" t="s">
        <v>143</v>
      </c>
      <c r="S57" t="s">
        <v>143</v>
      </c>
      <c r="T57" t="s">
        <v>143</v>
      </c>
      <c r="U57" t="s">
        <v>143</v>
      </c>
      <c r="V57" t="s">
        <v>143</v>
      </c>
      <c r="W57" t="s">
        <v>143</v>
      </c>
      <c r="X57" t="s">
        <v>143</v>
      </c>
      <c r="Y57" t="s">
        <v>143</v>
      </c>
      <c r="Z57" t="s">
        <v>143</v>
      </c>
      <c r="AA57" t="s">
        <v>143</v>
      </c>
      <c r="AB57" t="s">
        <v>143</v>
      </c>
      <c r="AC57" t="s">
        <v>143</v>
      </c>
      <c r="AD57" t="s">
        <v>143</v>
      </c>
      <c r="AE57" t="s">
        <v>143</v>
      </c>
      <c r="AF57" t="s">
        <v>143</v>
      </c>
      <c r="AG57" t="s">
        <v>143</v>
      </c>
      <c r="AH57" t="s">
        <v>143</v>
      </c>
      <c r="AI57" t="s">
        <v>143</v>
      </c>
      <c r="AJ57" t="s">
        <v>143</v>
      </c>
      <c r="AK57" t="s">
        <v>143</v>
      </c>
    </row>
    <row r="58" spans="1:37" ht="18" x14ac:dyDescent="0.2">
      <c r="A58" t="s">
        <v>48</v>
      </c>
      <c r="B58" s="15" t="s">
        <v>576</v>
      </c>
      <c r="C58" t="s">
        <v>2</v>
      </c>
      <c r="D58" t="s">
        <v>650</v>
      </c>
      <c r="E58" t="s">
        <v>3</v>
      </c>
      <c r="F58" s="1" t="s">
        <v>142</v>
      </c>
      <c r="G58" s="1" t="s">
        <v>577</v>
      </c>
      <c r="H58" t="s">
        <v>575</v>
      </c>
      <c r="I58" s="14" t="s">
        <v>578</v>
      </c>
      <c r="J58" t="s">
        <v>457</v>
      </c>
      <c r="K58" t="s">
        <v>143</v>
      </c>
      <c r="L58" t="s">
        <v>143</v>
      </c>
      <c r="M58" t="s">
        <v>195</v>
      </c>
      <c r="N58" t="s">
        <v>143</v>
      </c>
      <c r="O58" t="s">
        <v>143</v>
      </c>
      <c r="P58" t="s">
        <v>143</v>
      </c>
      <c r="Q58" t="s">
        <v>143</v>
      </c>
      <c r="R58" t="s">
        <v>143</v>
      </c>
      <c r="S58" t="s">
        <v>143</v>
      </c>
      <c r="T58" t="s">
        <v>143</v>
      </c>
      <c r="U58" t="s">
        <v>143</v>
      </c>
      <c r="V58" t="s">
        <v>143</v>
      </c>
      <c r="W58" t="s">
        <v>143</v>
      </c>
      <c r="X58" t="s">
        <v>143</v>
      </c>
      <c r="Y58" t="s">
        <v>143</v>
      </c>
      <c r="Z58" t="s">
        <v>143</v>
      </c>
      <c r="AA58" t="s">
        <v>143</v>
      </c>
      <c r="AB58" t="s">
        <v>143</v>
      </c>
      <c r="AC58" t="s">
        <v>143</v>
      </c>
      <c r="AD58" t="s">
        <v>143</v>
      </c>
      <c r="AE58" t="s">
        <v>143</v>
      </c>
      <c r="AF58" t="s">
        <v>143</v>
      </c>
      <c r="AG58" t="s">
        <v>143</v>
      </c>
      <c r="AH58" t="s">
        <v>143</v>
      </c>
      <c r="AI58" t="s">
        <v>143</v>
      </c>
      <c r="AJ58" t="s">
        <v>143</v>
      </c>
      <c r="AK58" t="s">
        <v>143</v>
      </c>
    </row>
    <row r="59" spans="1:37" ht="18" x14ac:dyDescent="0.2">
      <c r="A59" t="s">
        <v>48</v>
      </c>
      <c r="B59" t="s">
        <v>563</v>
      </c>
      <c r="C59" t="s">
        <v>2</v>
      </c>
      <c r="D59" t="s">
        <v>143</v>
      </c>
      <c r="E59" t="s">
        <v>3</v>
      </c>
      <c r="F59" s="1" t="s">
        <v>142</v>
      </c>
      <c r="G59" s="1" t="s">
        <v>143</v>
      </c>
      <c r="H59" t="s">
        <v>143</v>
      </c>
      <c r="I59" s="14" t="s">
        <v>453</v>
      </c>
      <c r="J59" t="s">
        <v>457</v>
      </c>
      <c r="K59" t="s">
        <v>143</v>
      </c>
      <c r="L59" t="s">
        <v>143</v>
      </c>
      <c r="M59" t="s">
        <v>370</v>
      </c>
      <c r="N59" t="s">
        <v>143</v>
      </c>
      <c r="O59" t="s">
        <v>143</v>
      </c>
      <c r="P59" t="s">
        <v>143</v>
      </c>
      <c r="Q59" t="s">
        <v>143</v>
      </c>
      <c r="R59" t="s">
        <v>143</v>
      </c>
      <c r="S59" t="s">
        <v>143</v>
      </c>
      <c r="T59" t="s">
        <v>143</v>
      </c>
      <c r="U59" t="s">
        <v>143</v>
      </c>
      <c r="V59" t="s">
        <v>143</v>
      </c>
      <c r="W59" t="s">
        <v>454</v>
      </c>
      <c r="X59" t="s">
        <v>457</v>
      </c>
      <c r="Y59" t="s">
        <v>143</v>
      </c>
      <c r="Z59" t="s">
        <v>143</v>
      </c>
      <c r="AA59" t="s">
        <v>370</v>
      </c>
      <c r="AB59" t="s">
        <v>143</v>
      </c>
      <c r="AC59" t="s">
        <v>143</v>
      </c>
      <c r="AD59" t="s">
        <v>143</v>
      </c>
      <c r="AE59" t="s">
        <v>143</v>
      </c>
      <c r="AF59" t="s">
        <v>143</v>
      </c>
      <c r="AG59" t="s">
        <v>143</v>
      </c>
      <c r="AH59" t="s">
        <v>143</v>
      </c>
      <c r="AI59" t="s">
        <v>452</v>
      </c>
      <c r="AJ59">
        <v>0</v>
      </c>
      <c r="AK59">
        <v>0</v>
      </c>
    </row>
    <row r="60" spans="1:37" ht="18" x14ac:dyDescent="0.2">
      <c r="A60" t="s">
        <v>450</v>
      </c>
      <c r="B60" t="s">
        <v>564</v>
      </c>
      <c r="C60" t="s">
        <v>2</v>
      </c>
      <c r="D60" t="s">
        <v>651</v>
      </c>
      <c r="E60" t="s">
        <v>3</v>
      </c>
      <c r="F60" s="1" t="s">
        <v>142</v>
      </c>
      <c r="G60" s="1" t="s">
        <v>143</v>
      </c>
      <c r="H60" t="s">
        <v>143</v>
      </c>
      <c r="I60" t="s">
        <v>451</v>
      </c>
      <c r="J60" t="s">
        <v>457</v>
      </c>
      <c r="K60" t="s">
        <v>143</v>
      </c>
      <c r="L60" t="s">
        <v>143</v>
      </c>
      <c r="M60" t="s">
        <v>143</v>
      </c>
      <c r="N60" t="s">
        <v>143</v>
      </c>
      <c r="O60" t="s">
        <v>143</v>
      </c>
      <c r="P60" t="s">
        <v>143</v>
      </c>
      <c r="Q60" t="s">
        <v>143</v>
      </c>
      <c r="R60" t="s">
        <v>143</v>
      </c>
      <c r="S60" t="s">
        <v>143</v>
      </c>
      <c r="T60" t="s">
        <v>143</v>
      </c>
      <c r="U60" t="s">
        <v>143</v>
      </c>
      <c r="V60" t="s">
        <v>143</v>
      </c>
      <c r="W60" t="s">
        <v>143</v>
      </c>
      <c r="X60" t="s">
        <v>143</v>
      </c>
      <c r="Y60" t="s">
        <v>143</v>
      </c>
      <c r="Z60" t="s">
        <v>143</v>
      </c>
      <c r="AA60" t="s">
        <v>143</v>
      </c>
      <c r="AB60" t="s">
        <v>143</v>
      </c>
      <c r="AC60" t="s">
        <v>143</v>
      </c>
      <c r="AD60" t="s">
        <v>143</v>
      </c>
      <c r="AE60" t="s">
        <v>143</v>
      </c>
      <c r="AF60" t="s">
        <v>143</v>
      </c>
      <c r="AG60" t="s">
        <v>143</v>
      </c>
      <c r="AH60" t="s">
        <v>143</v>
      </c>
      <c r="AI60" t="s">
        <v>143</v>
      </c>
      <c r="AJ60" t="s">
        <v>143</v>
      </c>
      <c r="AK60" t="s">
        <v>143</v>
      </c>
    </row>
    <row r="61" spans="1:37" ht="19" x14ac:dyDescent="0.25">
      <c r="A61" t="s">
        <v>21</v>
      </c>
      <c r="B61" s="15" t="s">
        <v>565</v>
      </c>
      <c r="C61" t="s">
        <v>5</v>
      </c>
      <c r="D61" s="16" t="s">
        <v>652</v>
      </c>
      <c r="E61" t="s">
        <v>6</v>
      </c>
      <c r="F61" s="1" t="s">
        <v>142</v>
      </c>
      <c r="G61" s="11" t="s">
        <v>143</v>
      </c>
      <c r="H61" t="s">
        <v>539</v>
      </c>
      <c r="I61" s="1" t="s">
        <v>516</v>
      </c>
      <c r="J61" t="s">
        <v>457</v>
      </c>
      <c r="K61" t="s">
        <v>140</v>
      </c>
      <c r="L61" t="s">
        <v>145</v>
      </c>
      <c r="M61" t="s">
        <v>143</v>
      </c>
      <c r="N61" t="s">
        <v>143</v>
      </c>
      <c r="O61" t="s">
        <v>143</v>
      </c>
      <c r="P61" t="s">
        <v>143</v>
      </c>
      <c r="Q61" t="s">
        <v>143</v>
      </c>
      <c r="R61" t="s">
        <v>143</v>
      </c>
      <c r="S61" t="s">
        <v>143</v>
      </c>
      <c r="T61" t="s">
        <v>143</v>
      </c>
      <c r="U61" t="s">
        <v>143</v>
      </c>
      <c r="V61" t="s">
        <v>566</v>
      </c>
      <c r="W61" t="s">
        <v>567</v>
      </c>
      <c r="X61" s="1" t="s">
        <v>139</v>
      </c>
      <c r="Y61" t="s">
        <v>140</v>
      </c>
      <c r="Z61" t="s">
        <v>145</v>
      </c>
      <c r="AA61" t="s">
        <v>143</v>
      </c>
      <c r="AB61" t="s">
        <v>143</v>
      </c>
      <c r="AC61" t="s">
        <v>143</v>
      </c>
      <c r="AD61" t="s">
        <v>143</v>
      </c>
      <c r="AE61" t="s">
        <v>143</v>
      </c>
      <c r="AF61" t="s">
        <v>143</v>
      </c>
      <c r="AG61" t="s">
        <v>143</v>
      </c>
      <c r="AH61" t="s">
        <v>143</v>
      </c>
      <c r="AI61" t="s">
        <v>147</v>
      </c>
      <c r="AJ61" t="s">
        <v>143</v>
      </c>
      <c r="AK61" t="s">
        <v>143</v>
      </c>
    </row>
    <row r="62" spans="1:37" ht="18" x14ac:dyDescent="0.2">
      <c r="A62" t="s">
        <v>21</v>
      </c>
      <c r="B62" s="15" t="s">
        <v>594</v>
      </c>
      <c r="C62" t="s">
        <v>2</v>
      </c>
      <c r="D62" s="15" t="s">
        <v>579</v>
      </c>
      <c r="E62" t="s">
        <v>3</v>
      </c>
      <c r="F62" s="1" t="s">
        <v>142</v>
      </c>
      <c r="G62" t="s">
        <v>180</v>
      </c>
      <c r="H62" t="s">
        <v>556</v>
      </c>
      <c r="I62" t="s">
        <v>179</v>
      </c>
      <c r="J62" t="s">
        <v>139</v>
      </c>
      <c r="K62" t="s">
        <v>140</v>
      </c>
      <c r="L62" t="s">
        <v>145</v>
      </c>
      <c r="M62" t="s">
        <v>143</v>
      </c>
      <c r="N62" t="s">
        <v>143</v>
      </c>
      <c r="O62" t="s">
        <v>143</v>
      </c>
      <c r="P62" t="s">
        <v>143</v>
      </c>
      <c r="Q62" t="s">
        <v>143</v>
      </c>
      <c r="R62" t="s">
        <v>143</v>
      </c>
      <c r="S62" t="s">
        <v>143</v>
      </c>
      <c r="T62" t="s">
        <v>143</v>
      </c>
      <c r="U62" t="s">
        <v>143</v>
      </c>
      <c r="V62" t="s">
        <v>143</v>
      </c>
      <c r="W62" t="s">
        <v>143</v>
      </c>
      <c r="X62" t="s">
        <v>143</v>
      </c>
      <c r="Y62" t="s">
        <v>143</v>
      </c>
      <c r="Z62" t="s">
        <v>143</v>
      </c>
      <c r="AA62" t="s">
        <v>143</v>
      </c>
      <c r="AB62" t="s">
        <v>143</v>
      </c>
      <c r="AC62" t="s">
        <v>143</v>
      </c>
      <c r="AD62" t="s">
        <v>143</v>
      </c>
      <c r="AE62" t="s">
        <v>143</v>
      </c>
      <c r="AF62" t="s">
        <v>143</v>
      </c>
      <c r="AG62" t="s">
        <v>143</v>
      </c>
      <c r="AH62" t="s">
        <v>143</v>
      </c>
      <c r="AI62" t="s">
        <v>143</v>
      </c>
      <c r="AJ62" t="s">
        <v>143</v>
      </c>
      <c r="AK62" t="s">
        <v>143</v>
      </c>
    </row>
    <row r="63" spans="1:37" ht="18" x14ac:dyDescent="0.2">
      <c r="A63" t="s">
        <v>19</v>
      </c>
      <c r="B63" s="15" t="s">
        <v>653</v>
      </c>
      <c r="C63" t="s">
        <v>2</v>
      </c>
      <c r="D63" s="15" t="s">
        <v>653</v>
      </c>
      <c r="E63" t="s">
        <v>3</v>
      </c>
      <c r="F63" s="1" t="s">
        <v>142</v>
      </c>
      <c r="G63" s="1" t="s">
        <v>143</v>
      </c>
      <c r="H63" s="16" t="s">
        <v>655</v>
      </c>
      <c r="I63" s="16" t="s">
        <v>654</v>
      </c>
      <c r="J63" t="s">
        <v>656</v>
      </c>
      <c r="K63" s="9" t="s">
        <v>657</v>
      </c>
      <c r="L63" t="s">
        <v>145</v>
      </c>
      <c r="M63" t="s">
        <v>143</v>
      </c>
      <c r="N63" t="s">
        <v>143</v>
      </c>
      <c r="O63" t="s">
        <v>143</v>
      </c>
      <c r="P63" t="s">
        <v>143</v>
      </c>
      <c r="Q63" t="s">
        <v>143</v>
      </c>
      <c r="R63" t="s">
        <v>143</v>
      </c>
      <c r="S63" t="s">
        <v>143</v>
      </c>
      <c r="T63" t="s">
        <v>143</v>
      </c>
      <c r="U63" t="s">
        <v>143</v>
      </c>
      <c r="V63" t="s">
        <v>143</v>
      </c>
      <c r="W63" t="s">
        <v>143</v>
      </c>
      <c r="X63" t="s">
        <v>143</v>
      </c>
      <c r="Y63" t="s">
        <v>143</v>
      </c>
      <c r="Z63" t="s">
        <v>143</v>
      </c>
      <c r="AA63" t="s">
        <v>143</v>
      </c>
      <c r="AB63" t="s">
        <v>143</v>
      </c>
      <c r="AC63" t="s">
        <v>143</v>
      </c>
      <c r="AD63" t="s">
        <v>143</v>
      </c>
      <c r="AE63" t="s">
        <v>143</v>
      </c>
      <c r="AF63" t="s">
        <v>143</v>
      </c>
      <c r="AG63" t="s">
        <v>143</v>
      </c>
      <c r="AH63" t="s">
        <v>143</v>
      </c>
      <c r="AI63" t="s">
        <v>143</v>
      </c>
      <c r="AJ63" t="s">
        <v>143</v>
      </c>
      <c r="AK63" t="s">
        <v>143</v>
      </c>
    </row>
    <row r="64" spans="1:37" ht="18" x14ac:dyDescent="0.2">
      <c r="A64" t="s">
        <v>19</v>
      </c>
      <c r="B64" s="15" t="s">
        <v>658</v>
      </c>
      <c r="C64" t="s">
        <v>2</v>
      </c>
      <c r="D64" s="16" t="s">
        <v>659</v>
      </c>
      <c r="E64" t="s">
        <v>3</v>
      </c>
      <c r="F64" s="1" t="s">
        <v>142</v>
      </c>
      <c r="G64" s="1" t="s">
        <v>143</v>
      </c>
      <c r="H64" s="16" t="s">
        <v>659</v>
      </c>
      <c r="I64" s="16" t="s">
        <v>660</v>
      </c>
      <c r="J64" t="s">
        <v>139</v>
      </c>
      <c r="K64" s="9" t="s">
        <v>657</v>
      </c>
      <c r="L64" t="s">
        <v>145</v>
      </c>
      <c r="M64" t="s">
        <v>143</v>
      </c>
      <c r="N64" t="s">
        <v>143</v>
      </c>
      <c r="O64" t="s">
        <v>143</v>
      </c>
      <c r="P64" t="s">
        <v>143</v>
      </c>
      <c r="Q64" t="s">
        <v>143</v>
      </c>
      <c r="R64" t="s">
        <v>143</v>
      </c>
      <c r="S64" t="s">
        <v>143</v>
      </c>
      <c r="T64" t="s">
        <v>143</v>
      </c>
      <c r="U64" t="s">
        <v>143</v>
      </c>
      <c r="V64" t="s">
        <v>143</v>
      </c>
      <c r="W64" t="s">
        <v>143</v>
      </c>
      <c r="X64" t="s">
        <v>143</v>
      </c>
      <c r="Y64" t="s">
        <v>143</v>
      </c>
      <c r="Z64" t="s">
        <v>143</v>
      </c>
      <c r="AA64" t="s">
        <v>143</v>
      </c>
      <c r="AB64" t="s">
        <v>143</v>
      </c>
      <c r="AC64" t="s">
        <v>143</v>
      </c>
      <c r="AD64" t="s">
        <v>143</v>
      </c>
      <c r="AE64" t="s">
        <v>143</v>
      </c>
      <c r="AF64" t="s">
        <v>143</v>
      </c>
      <c r="AG64" t="s">
        <v>143</v>
      </c>
      <c r="AH64" t="s">
        <v>143</v>
      </c>
      <c r="AI64" t="s">
        <v>143</v>
      </c>
      <c r="AJ64" t="s">
        <v>143</v>
      </c>
      <c r="AK64" t="s">
        <v>143</v>
      </c>
    </row>
    <row r="65" spans="1:37" ht="19" x14ac:dyDescent="0.25">
      <c r="A65" t="s">
        <v>19</v>
      </c>
      <c r="B65" s="15" t="s">
        <v>661</v>
      </c>
      <c r="C65" t="s">
        <v>2</v>
      </c>
      <c r="D65" s="11" t="s">
        <v>663</v>
      </c>
      <c r="E65" t="s">
        <v>3</v>
      </c>
      <c r="F65" s="1" t="s">
        <v>142</v>
      </c>
      <c r="G65" s="1" t="s">
        <v>143</v>
      </c>
      <c r="H65" s="11" t="s">
        <v>663</v>
      </c>
      <c r="I65" s="16" t="s">
        <v>662</v>
      </c>
      <c r="J65" t="s">
        <v>457</v>
      </c>
      <c r="K65" t="s">
        <v>149</v>
      </c>
      <c r="L65" t="s">
        <v>145</v>
      </c>
      <c r="M65" t="s">
        <v>143</v>
      </c>
      <c r="N65" t="s">
        <v>143</v>
      </c>
      <c r="O65" t="s">
        <v>143</v>
      </c>
      <c r="P65" t="s">
        <v>143</v>
      </c>
      <c r="Q65" t="s">
        <v>143</v>
      </c>
      <c r="R65" t="s">
        <v>143</v>
      </c>
      <c r="S65" t="s">
        <v>143</v>
      </c>
      <c r="T65" t="s">
        <v>143</v>
      </c>
      <c r="U65" t="s">
        <v>143</v>
      </c>
      <c r="V65" t="s">
        <v>143</v>
      </c>
      <c r="W65" t="s">
        <v>143</v>
      </c>
      <c r="X65" t="s">
        <v>143</v>
      </c>
      <c r="Y65" t="s">
        <v>143</v>
      </c>
      <c r="Z65" t="s">
        <v>143</v>
      </c>
      <c r="AA65" t="s">
        <v>143</v>
      </c>
      <c r="AB65" t="s">
        <v>143</v>
      </c>
      <c r="AC65" t="s">
        <v>143</v>
      </c>
      <c r="AD65" t="s">
        <v>143</v>
      </c>
      <c r="AE65" t="s">
        <v>143</v>
      </c>
      <c r="AF65" t="s">
        <v>143</v>
      </c>
      <c r="AG65" t="s">
        <v>143</v>
      </c>
      <c r="AH65" t="s">
        <v>143</v>
      </c>
      <c r="AI65" t="s">
        <v>143</v>
      </c>
      <c r="AJ65" t="s">
        <v>143</v>
      </c>
      <c r="AK65" t="s">
        <v>143</v>
      </c>
    </row>
    <row r="66" spans="1:37" ht="18" x14ac:dyDescent="0.2">
      <c r="A66" t="s">
        <v>19</v>
      </c>
      <c r="B66" s="15" t="s">
        <v>664</v>
      </c>
      <c r="C66" t="s">
        <v>2</v>
      </c>
      <c r="D66" s="15" t="s">
        <v>664</v>
      </c>
      <c r="E66" t="s">
        <v>3</v>
      </c>
      <c r="F66" s="1" t="s">
        <v>142</v>
      </c>
      <c r="G66" s="1" t="s">
        <v>143</v>
      </c>
      <c r="H66" t="s">
        <v>665</v>
      </c>
      <c r="I66" t="s">
        <v>666</v>
      </c>
      <c r="J66" t="s">
        <v>457</v>
      </c>
      <c r="K66" t="s">
        <v>149</v>
      </c>
      <c r="L66" t="s">
        <v>145</v>
      </c>
      <c r="M66" t="s">
        <v>143</v>
      </c>
      <c r="N66" s="4" t="s">
        <v>392</v>
      </c>
      <c r="O66" t="s">
        <v>143</v>
      </c>
      <c r="P66" t="s">
        <v>143</v>
      </c>
      <c r="Q66" t="s">
        <v>143</v>
      </c>
      <c r="R66" t="s">
        <v>143</v>
      </c>
      <c r="S66" t="s">
        <v>143</v>
      </c>
      <c r="T66" t="s">
        <v>143</v>
      </c>
      <c r="U66" t="s">
        <v>143</v>
      </c>
      <c r="V66" t="s">
        <v>143</v>
      </c>
      <c r="W66" t="s">
        <v>143</v>
      </c>
      <c r="X66" t="s">
        <v>143</v>
      </c>
      <c r="Y66" t="s">
        <v>143</v>
      </c>
      <c r="Z66" t="s">
        <v>143</v>
      </c>
      <c r="AA66" t="s">
        <v>143</v>
      </c>
      <c r="AB66" t="s">
        <v>143</v>
      </c>
      <c r="AC66" t="s">
        <v>143</v>
      </c>
      <c r="AD66" t="s">
        <v>143</v>
      </c>
      <c r="AE66" t="s">
        <v>143</v>
      </c>
      <c r="AF66" t="s">
        <v>143</v>
      </c>
      <c r="AG66" t="s">
        <v>143</v>
      </c>
      <c r="AH66" t="s">
        <v>143</v>
      </c>
      <c r="AI66" t="s">
        <v>143</v>
      </c>
      <c r="AJ66" t="s">
        <v>143</v>
      </c>
      <c r="AK66" t="s">
        <v>143</v>
      </c>
    </row>
    <row r="67" spans="1:37" ht="18" x14ac:dyDescent="0.2">
      <c r="A67" t="s">
        <v>43</v>
      </c>
      <c r="B67" s="15" t="s">
        <v>669</v>
      </c>
      <c r="C67" t="s">
        <v>2</v>
      </c>
      <c r="D67" t="s">
        <v>671</v>
      </c>
      <c r="E67" t="s">
        <v>3</v>
      </c>
      <c r="F67" s="1" t="s">
        <v>142</v>
      </c>
      <c r="G67" s="1" t="s">
        <v>143</v>
      </c>
      <c r="H67" t="s">
        <v>668</v>
      </c>
      <c r="I67" s="1" t="s">
        <v>667</v>
      </c>
      <c r="J67" t="s">
        <v>457</v>
      </c>
      <c r="K67" s="9" t="s">
        <v>417</v>
      </c>
      <c r="L67" t="s">
        <v>145</v>
      </c>
      <c r="M67" t="s">
        <v>143</v>
      </c>
      <c r="N67" t="s">
        <v>391</v>
      </c>
      <c r="O67" t="s">
        <v>143</v>
      </c>
      <c r="P67" t="s">
        <v>143</v>
      </c>
      <c r="Q67" t="s">
        <v>143</v>
      </c>
      <c r="R67" t="s">
        <v>143</v>
      </c>
      <c r="S67" t="s">
        <v>143</v>
      </c>
      <c r="T67" t="s">
        <v>143</v>
      </c>
      <c r="U67" t="s">
        <v>143</v>
      </c>
      <c r="V67" t="s">
        <v>143</v>
      </c>
      <c r="W67" t="s">
        <v>143</v>
      </c>
      <c r="X67" t="s">
        <v>143</v>
      </c>
      <c r="Y67" t="s">
        <v>143</v>
      </c>
      <c r="Z67" t="s">
        <v>143</v>
      </c>
      <c r="AA67" t="s">
        <v>143</v>
      </c>
      <c r="AB67" t="s">
        <v>143</v>
      </c>
      <c r="AC67" t="s">
        <v>143</v>
      </c>
      <c r="AD67" t="s">
        <v>143</v>
      </c>
      <c r="AE67" t="s">
        <v>143</v>
      </c>
      <c r="AF67" t="s">
        <v>143</v>
      </c>
      <c r="AG67" t="s">
        <v>143</v>
      </c>
      <c r="AH67" t="s">
        <v>143</v>
      </c>
      <c r="AI67" t="s">
        <v>143</v>
      </c>
      <c r="AJ67" t="s">
        <v>143</v>
      </c>
      <c r="AK67" t="s">
        <v>143</v>
      </c>
    </row>
    <row r="68" spans="1:37" ht="18" x14ac:dyDescent="0.2">
      <c r="A68" t="s">
        <v>43</v>
      </c>
      <c r="B68" s="15" t="s">
        <v>670</v>
      </c>
      <c r="C68" t="s">
        <v>2</v>
      </c>
      <c r="D68" t="s">
        <v>672</v>
      </c>
      <c r="E68" t="s">
        <v>3</v>
      </c>
      <c r="F68" s="1" t="s">
        <v>142</v>
      </c>
      <c r="G68" s="1" t="s">
        <v>143</v>
      </c>
      <c r="H68" t="s">
        <v>668</v>
      </c>
      <c r="I68" s="1" t="s">
        <v>667</v>
      </c>
      <c r="J68" t="s">
        <v>457</v>
      </c>
      <c r="K68" s="9" t="s">
        <v>417</v>
      </c>
      <c r="L68" t="s">
        <v>145</v>
      </c>
      <c r="M68" t="s">
        <v>143</v>
      </c>
      <c r="N68" t="s">
        <v>390</v>
      </c>
      <c r="O68" t="s">
        <v>143</v>
      </c>
      <c r="P68" t="s">
        <v>143</v>
      </c>
      <c r="Q68" t="s">
        <v>143</v>
      </c>
      <c r="R68" t="s">
        <v>143</v>
      </c>
      <c r="S68" t="s">
        <v>143</v>
      </c>
      <c r="T68" t="s">
        <v>143</v>
      </c>
      <c r="U68" t="s">
        <v>143</v>
      </c>
      <c r="V68" t="s">
        <v>143</v>
      </c>
      <c r="W68" t="s">
        <v>143</v>
      </c>
      <c r="X68" t="s">
        <v>143</v>
      </c>
      <c r="Y68" t="s">
        <v>143</v>
      </c>
      <c r="Z68" t="s">
        <v>143</v>
      </c>
      <c r="AA68" t="s">
        <v>143</v>
      </c>
      <c r="AB68" t="s">
        <v>143</v>
      </c>
      <c r="AC68" t="s">
        <v>143</v>
      </c>
      <c r="AD68" t="s">
        <v>143</v>
      </c>
      <c r="AE68" t="s">
        <v>143</v>
      </c>
      <c r="AF68" t="s">
        <v>143</v>
      </c>
      <c r="AG68" t="s">
        <v>143</v>
      </c>
      <c r="AH68" t="s">
        <v>143</v>
      </c>
      <c r="AI68" t="s">
        <v>143</v>
      </c>
      <c r="AJ68" t="s">
        <v>143</v>
      </c>
      <c r="AK68" t="s">
        <v>143</v>
      </c>
    </row>
  </sheetData>
  <autoFilter ref="A1:AK60" xr:uid="{6F439630-CB66-7E4E-9544-3F25521DB3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DA6B-3F7E-D547-BD9D-9083103169CB}">
  <dimension ref="A1:AI188"/>
  <sheetViews>
    <sheetView tabSelected="1" topLeftCell="A9" zoomScale="120" zoomScaleNormal="120" workbookViewId="0">
      <pane xSplit="6" topLeftCell="T1" activePane="topRight" state="frozen"/>
      <selection pane="topRight" activeCell="U11" sqref="U1:V1048576"/>
    </sheetView>
  </sheetViews>
  <sheetFormatPr baseColWidth="10" defaultRowHeight="16" x14ac:dyDescent="0.2"/>
  <cols>
    <col min="1" max="1" width="12.1640625" bestFit="1" customWidth="1"/>
    <col min="2" max="2" width="48.6640625" bestFit="1" customWidth="1"/>
    <col min="3" max="3" width="15.1640625" bestFit="1" customWidth="1"/>
    <col min="4" max="4" width="22.83203125" customWidth="1"/>
    <col min="5" max="5" width="50.33203125" customWidth="1"/>
    <col min="6" max="6" width="19.83203125" customWidth="1"/>
    <col min="7" max="7" width="17" customWidth="1"/>
    <col min="8" max="8" width="10.83203125" customWidth="1"/>
    <col min="9" max="9" width="9.6640625" style="12" customWidth="1"/>
    <col min="10" max="10" width="41.83203125" customWidth="1"/>
    <col min="11" max="13" width="12.33203125" customWidth="1"/>
    <col min="14" max="18" width="10.83203125" customWidth="1"/>
    <col min="19" max="19" width="13.5" customWidth="1"/>
  </cols>
  <sheetData>
    <row r="1" spans="1:35" x14ac:dyDescent="0.2">
      <c r="A1" t="s">
        <v>221</v>
      </c>
      <c r="B1" t="s">
        <v>128</v>
      </c>
      <c r="C1" t="s">
        <v>222</v>
      </c>
      <c r="D1" t="s">
        <v>215</v>
      </c>
      <c r="E1" t="s">
        <v>173</v>
      </c>
      <c r="F1" t="s">
        <v>220</v>
      </c>
      <c r="G1" t="s">
        <v>219</v>
      </c>
      <c r="H1" t="s">
        <v>113</v>
      </c>
      <c r="I1" s="12" t="s">
        <v>172</v>
      </c>
      <c r="J1" t="s">
        <v>167</v>
      </c>
      <c r="K1" s="9" t="s">
        <v>149</v>
      </c>
      <c r="L1" s="9" t="s">
        <v>151</v>
      </c>
      <c r="M1" s="9" t="s">
        <v>140</v>
      </c>
      <c r="N1" s="9" t="s">
        <v>155</v>
      </c>
      <c r="O1" t="s">
        <v>229</v>
      </c>
      <c r="P1" s="9" t="s">
        <v>171</v>
      </c>
      <c r="Q1" s="9" t="s">
        <v>97</v>
      </c>
      <c r="R1" s="9" t="s">
        <v>226</v>
      </c>
      <c r="S1" t="s">
        <v>232</v>
      </c>
      <c r="T1" s="9" t="s">
        <v>183</v>
      </c>
      <c r="U1" t="s">
        <v>216</v>
      </c>
      <c r="V1" t="s">
        <v>145</v>
      </c>
      <c r="W1" t="s">
        <v>150</v>
      </c>
      <c r="X1" t="s">
        <v>218</v>
      </c>
      <c r="Y1" t="s">
        <v>255</v>
      </c>
      <c r="Z1" t="s">
        <v>260</v>
      </c>
      <c r="AA1" t="s">
        <v>261</v>
      </c>
      <c r="AB1" t="s">
        <v>288</v>
      </c>
      <c r="AC1" t="s">
        <v>281</v>
      </c>
      <c r="AD1" t="s">
        <v>289</v>
      </c>
      <c r="AE1" t="s">
        <v>379</v>
      </c>
      <c r="AF1" t="s">
        <v>402</v>
      </c>
      <c r="AG1" t="s">
        <v>673</v>
      </c>
      <c r="AH1" t="s">
        <v>797</v>
      </c>
      <c r="AI1" t="s">
        <v>437</v>
      </c>
    </row>
    <row r="2" spans="1:35" x14ac:dyDescent="0.2">
      <c r="A2" t="s">
        <v>174</v>
      </c>
      <c r="B2" t="s">
        <v>233</v>
      </c>
      <c r="C2" t="s">
        <v>256</v>
      </c>
      <c r="D2" t="s">
        <v>217</v>
      </c>
      <c r="E2" t="s">
        <v>257</v>
      </c>
      <c r="F2" t="s">
        <v>418</v>
      </c>
      <c r="G2" t="s">
        <v>419</v>
      </c>
      <c r="H2">
        <v>3</v>
      </c>
      <c r="I2" s="12">
        <v>1</v>
      </c>
      <c r="J2" s="4" t="str">
        <f t="shared" ref="J2:J33" si="0">_xlfn.TEXTJOIN(";",1,K2:AAB2)</f>
        <v>&lt;2mo</v>
      </c>
      <c r="K2" s="9"/>
      <c r="L2" s="9"/>
      <c r="M2" s="9"/>
      <c r="N2" s="9"/>
      <c r="P2" s="9"/>
      <c r="Q2" s="9"/>
      <c r="R2" s="9"/>
      <c r="T2" s="9"/>
      <c r="Z2" t="s">
        <v>260</v>
      </c>
    </row>
    <row r="3" spans="1:35" x14ac:dyDescent="0.2">
      <c r="A3" t="s">
        <v>174</v>
      </c>
      <c r="B3" t="s">
        <v>233</v>
      </c>
      <c r="C3" t="s">
        <v>259</v>
      </c>
      <c r="D3" t="s">
        <v>217</v>
      </c>
      <c r="E3" t="s">
        <v>258</v>
      </c>
      <c r="F3" t="s">
        <v>262</v>
      </c>
      <c r="G3" t="s">
        <v>263</v>
      </c>
      <c r="H3">
        <v>7</v>
      </c>
      <c r="I3" s="12">
        <v>1</v>
      </c>
      <c r="J3" s="4" t="str">
        <f t="shared" si="0"/>
        <v>2-12mo</v>
      </c>
      <c r="K3" s="9"/>
      <c r="L3" s="9"/>
      <c r="M3" s="9"/>
      <c r="N3" s="9"/>
      <c r="P3" s="9"/>
      <c r="Q3" s="9"/>
      <c r="R3" s="9"/>
      <c r="T3" s="9"/>
      <c r="AA3" t="s">
        <v>261</v>
      </c>
    </row>
    <row r="4" spans="1:35" x14ac:dyDescent="0.2">
      <c r="A4" t="s">
        <v>174</v>
      </c>
      <c r="B4" t="s">
        <v>233</v>
      </c>
      <c r="C4" t="s">
        <v>81</v>
      </c>
      <c r="D4" t="s">
        <v>217</v>
      </c>
      <c r="E4" t="s">
        <v>238</v>
      </c>
      <c r="F4" t="s">
        <v>99</v>
      </c>
      <c r="G4" t="s">
        <v>114</v>
      </c>
      <c r="H4" s="7">
        <v>10</v>
      </c>
      <c r="I4" s="13">
        <v>1</v>
      </c>
      <c r="J4" s="4" t="str">
        <f t="shared" si="0"/>
        <v>&lt;1-50+;&lt;1-18+</v>
      </c>
      <c r="K4" s="9" t="s">
        <v>149</v>
      </c>
      <c r="L4" s="9"/>
      <c r="M4" s="9"/>
      <c r="N4" s="9"/>
      <c r="O4" t="s">
        <v>229</v>
      </c>
    </row>
    <row r="5" spans="1:35" x14ac:dyDescent="0.2">
      <c r="A5" t="s">
        <v>174</v>
      </c>
      <c r="B5" t="s">
        <v>233</v>
      </c>
      <c r="C5" t="s">
        <v>94</v>
      </c>
      <c r="D5" t="s">
        <v>217</v>
      </c>
      <c r="E5" t="s">
        <v>239</v>
      </c>
      <c r="F5" t="s">
        <v>99</v>
      </c>
      <c r="G5" t="s">
        <v>114</v>
      </c>
      <c r="H5" s="7">
        <v>10</v>
      </c>
      <c r="I5" s="13">
        <v>0.25</v>
      </c>
      <c r="J5" s="4" t="str">
        <f t="shared" si="0"/>
        <v>&lt;15/&gt;15.d</v>
      </c>
      <c r="O5" s="9"/>
      <c r="P5" s="9" t="s">
        <v>171</v>
      </c>
    </row>
    <row r="6" spans="1:35" x14ac:dyDescent="0.2">
      <c r="A6" t="s">
        <v>174</v>
      </c>
      <c r="B6" t="s">
        <v>233</v>
      </c>
      <c r="C6" t="s">
        <v>153</v>
      </c>
      <c r="D6" t="s">
        <v>217</v>
      </c>
      <c r="E6" t="s">
        <v>240</v>
      </c>
      <c r="F6" t="s">
        <v>99</v>
      </c>
      <c r="G6" t="s">
        <v>114</v>
      </c>
      <c r="H6" s="6">
        <v>10</v>
      </c>
      <c r="I6" s="12">
        <v>0.2</v>
      </c>
      <c r="J6" s="4" t="str">
        <f t="shared" si="0"/>
        <v/>
      </c>
    </row>
    <row r="7" spans="1:35" x14ac:dyDescent="0.2">
      <c r="A7" t="s">
        <v>174</v>
      </c>
      <c r="B7" t="s">
        <v>233</v>
      </c>
      <c r="C7" t="s">
        <v>471</v>
      </c>
      <c r="D7" t="s">
        <v>217</v>
      </c>
      <c r="E7" t="s">
        <v>472</v>
      </c>
      <c r="F7" t="s">
        <v>97</v>
      </c>
      <c r="G7" t="s">
        <v>117</v>
      </c>
      <c r="H7" s="6">
        <v>15</v>
      </c>
      <c r="I7" s="12">
        <v>1</v>
      </c>
      <c r="J7" s="4" t="str">
        <f t="shared" si="0"/>
        <v>&lt;1-50+;1-50+;&lt;1-18+;1-4;1-50+/&lt;5</v>
      </c>
      <c r="K7" s="9" t="s">
        <v>149</v>
      </c>
      <c r="L7" s="9" t="s">
        <v>151</v>
      </c>
      <c r="M7" s="9"/>
      <c r="N7" s="9"/>
      <c r="O7" t="s">
        <v>229</v>
      </c>
      <c r="Q7" s="9" t="s">
        <v>97</v>
      </c>
      <c r="R7" s="9" t="s">
        <v>226</v>
      </c>
    </row>
    <row r="8" spans="1:35" x14ac:dyDescent="0.2">
      <c r="A8" t="s">
        <v>174</v>
      </c>
      <c r="B8" t="s">
        <v>233</v>
      </c>
      <c r="C8" t="s">
        <v>82</v>
      </c>
      <c r="D8" t="s">
        <v>217</v>
      </c>
      <c r="E8" t="s">
        <v>241</v>
      </c>
      <c r="F8" t="s">
        <v>97</v>
      </c>
      <c r="G8" t="s">
        <v>117</v>
      </c>
      <c r="H8" s="7">
        <v>20</v>
      </c>
      <c r="I8" s="13">
        <v>0.5</v>
      </c>
      <c r="J8" s="4" t="str">
        <f t="shared" si="0"/>
        <v>&lt;1-50+;1-50+;&lt;1-18+;1-4;1-50+/&lt;5</v>
      </c>
      <c r="K8" s="9" t="s">
        <v>149</v>
      </c>
      <c r="L8" s="9" t="s">
        <v>151</v>
      </c>
      <c r="M8" s="9"/>
      <c r="N8" s="9"/>
      <c r="O8" t="s">
        <v>229</v>
      </c>
      <c r="Q8" s="9" t="s">
        <v>97</v>
      </c>
      <c r="R8" s="9" t="s">
        <v>226</v>
      </c>
    </row>
    <row r="9" spans="1:35" x14ac:dyDescent="0.2">
      <c r="A9" t="s">
        <v>174</v>
      </c>
      <c r="B9" t="s">
        <v>233</v>
      </c>
      <c r="C9" t="s">
        <v>94</v>
      </c>
      <c r="D9" t="s">
        <v>217</v>
      </c>
      <c r="E9" t="s">
        <v>239</v>
      </c>
      <c r="F9" t="s">
        <v>97</v>
      </c>
      <c r="G9" t="s">
        <v>117</v>
      </c>
      <c r="H9" s="7">
        <v>20</v>
      </c>
      <c r="I9" s="13">
        <v>0.25</v>
      </c>
      <c r="J9" s="4" t="str">
        <f t="shared" si="0"/>
        <v>&lt;15/&gt;15.d</v>
      </c>
      <c r="P9" s="9" t="s">
        <v>171</v>
      </c>
    </row>
    <row r="10" spans="1:35" x14ac:dyDescent="0.2">
      <c r="A10" t="s">
        <v>174</v>
      </c>
      <c r="B10" t="s">
        <v>233</v>
      </c>
      <c r="C10" t="s">
        <v>153</v>
      </c>
      <c r="D10" t="s">
        <v>217</v>
      </c>
      <c r="E10" t="s">
        <v>240</v>
      </c>
      <c r="F10" t="s">
        <v>97</v>
      </c>
      <c r="G10" t="s">
        <v>117</v>
      </c>
      <c r="H10" s="6">
        <v>20</v>
      </c>
      <c r="I10" s="12">
        <v>1</v>
      </c>
      <c r="J10" s="4" t="str">
        <f t="shared" si="0"/>
        <v>1-4;1-50+/&lt;5</v>
      </c>
      <c r="Q10" s="9" t="s">
        <v>97</v>
      </c>
      <c r="R10" s="9" t="s">
        <v>226</v>
      </c>
    </row>
    <row r="11" spans="1:35" x14ac:dyDescent="0.2">
      <c r="A11" t="s">
        <v>174</v>
      </c>
      <c r="B11" t="s">
        <v>233</v>
      </c>
      <c r="C11" t="s">
        <v>473</v>
      </c>
      <c r="D11" t="s">
        <v>217</v>
      </c>
      <c r="E11" t="s">
        <v>474</v>
      </c>
      <c r="F11" t="s">
        <v>98</v>
      </c>
      <c r="G11" t="s">
        <v>127</v>
      </c>
      <c r="H11" s="6">
        <v>25</v>
      </c>
      <c r="I11" s="12">
        <v>1</v>
      </c>
      <c r="J11" s="4" t="str">
        <f t="shared" si="0"/>
        <v>&lt;1-50+;1-50+;&lt;1-18+;1-50+/&lt;5</v>
      </c>
      <c r="K11" s="9" t="s">
        <v>149</v>
      </c>
      <c r="L11" s="9" t="s">
        <v>151</v>
      </c>
      <c r="M11" s="9"/>
      <c r="N11" s="9"/>
      <c r="O11" t="s">
        <v>229</v>
      </c>
      <c r="R11" s="9" t="s">
        <v>226</v>
      </c>
    </row>
    <row r="12" spans="1:35" x14ac:dyDescent="0.2">
      <c r="A12" t="s">
        <v>174</v>
      </c>
      <c r="B12" t="s">
        <v>233</v>
      </c>
      <c r="C12" t="s">
        <v>82</v>
      </c>
      <c r="D12" t="s">
        <v>217</v>
      </c>
      <c r="E12" t="s">
        <v>241</v>
      </c>
      <c r="F12" t="s">
        <v>98</v>
      </c>
      <c r="G12" t="s">
        <v>127</v>
      </c>
      <c r="H12" s="7">
        <v>30</v>
      </c>
      <c r="I12" s="13">
        <v>0.5</v>
      </c>
      <c r="J12" s="4" t="str">
        <f t="shared" si="0"/>
        <v>&lt;1-50+;1-50+;&lt;1-18+;1-50+/&lt;5</v>
      </c>
      <c r="K12" s="9" t="s">
        <v>149</v>
      </c>
      <c r="L12" s="9" t="s">
        <v>151</v>
      </c>
      <c r="M12" s="9"/>
      <c r="N12" s="9"/>
      <c r="O12" t="s">
        <v>229</v>
      </c>
      <c r="R12" s="9" t="s">
        <v>226</v>
      </c>
    </row>
    <row r="13" spans="1:35" x14ac:dyDescent="0.2">
      <c r="A13" t="s">
        <v>174</v>
      </c>
      <c r="B13" t="s">
        <v>233</v>
      </c>
      <c r="C13" t="s">
        <v>94</v>
      </c>
      <c r="D13" t="s">
        <v>217</v>
      </c>
      <c r="E13" t="s">
        <v>239</v>
      </c>
      <c r="F13" t="s">
        <v>98</v>
      </c>
      <c r="G13" t="s">
        <v>127</v>
      </c>
      <c r="H13" s="7">
        <v>30</v>
      </c>
      <c r="I13" s="13">
        <v>0.25</v>
      </c>
      <c r="J13" s="4" t="str">
        <f t="shared" si="0"/>
        <v>&lt;15/&gt;15.d</v>
      </c>
      <c r="P13" s="9" t="s">
        <v>171</v>
      </c>
    </row>
    <row r="14" spans="1:35" x14ac:dyDescent="0.2">
      <c r="A14" t="s">
        <v>174</v>
      </c>
      <c r="B14" t="s">
        <v>233</v>
      </c>
      <c r="C14" t="s">
        <v>83</v>
      </c>
      <c r="D14" t="s">
        <v>217</v>
      </c>
      <c r="E14" t="s">
        <v>242</v>
      </c>
      <c r="F14" t="s">
        <v>106</v>
      </c>
      <c r="G14" t="s">
        <v>118</v>
      </c>
      <c r="H14" s="7">
        <v>40</v>
      </c>
      <c r="I14" s="13">
        <v>1</v>
      </c>
      <c r="J14" s="4" t="str">
        <f t="shared" si="0"/>
        <v>&lt;1-50+;1-50+;10-50+;&lt;1-18+;1-50+/&lt;5;10-50+.all</v>
      </c>
      <c r="K14" s="9" t="s">
        <v>149</v>
      </c>
      <c r="L14" s="9" t="s">
        <v>151</v>
      </c>
      <c r="M14" s="9" t="s">
        <v>140</v>
      </c>
      <c r="N14" s="9"/>
      <c r="O14" t="s">
        <v>229</v>
      </c>
      <c r="R14" s="9" t="s">
        <v>226</v>
      </c>
      <c r="T14" s="9" t="s">
        <v>183</v>
      </c>
    </row>
    <row r="15" spans="1:35" x14ac:dyDescent="0.2">
      <c r="A15" t="s">
        <v>174</v>
      </c>
      <c r="B15" t="s">
        <v>233</v>
      </c>
      <c r="C15" t="s">
        <v>94</v>
      </c>
      <c r="D15" t="s">
        <v>217</v>
      </c>
      <c r="E15" t="s">
        <v>239</v>
      </c>
      <c r="F15" t="s">
        <v>106</v>
      </c>
      <c r="G15" t="s">
        <v>118</v>
      </c>
      <c r="H15" s="7">
        <v>40</v>
      </c>
      <c r="I15" s="13">
        <v>0.25</v>
      </c>
      <c r="J15" s="4" t="str">
        <f t="shared" si="0"/>
        <v>&lt;15/&gt;15.d</v>
      </c>
      <c r="P15" s="9" t="s">
        <v>171</v>
      </c>
    </row>
    <row r="16" spans="1:35" x14ac:dyDescent="0.2">
      <c r="A16" t="s">
        <v>143</v>
      </c>
      <c r="B16" t="s">
        <v>143</v>
      </c>
      <c r="C16" t="s">
        <v>143</v>
      </c>
      <c r="D16" t="s">
        <v>217</v>
      </c>
      <c r="E16" t="s">
        <v>143</v>
      </c>
      <c r="F16" t="s">
        <v>106</v>
      </c>
      <c r="G16" t="s">
        <v>118</v>
      </c>
      <c r="H16" s="7">
        <v>40</v>
      </c>
      <c r="I16" s="12">
        <v>0.1111</v>
      </c>
      <c r="J16" s="4" t="str">
        <f t="shared" si="0"/>
        <v>missing_age_1</v>
      </c>
      <c r="K16" s="4"/>
      <c r="L16" s="4"/>
      <c r="M16" s="4"/>
      <c r="N16" s="4"/>
      <c r="O16" s="4"/>
      <c r="P16" s="4"/>
      <c r="S16" t="s">
        <v>169</v>
      </c>
    </row>
    <row r="17" spans="1:20" ht="18" x14ac:dyDescent="0.2">
      <c r="A17" t="s">
        <v>174</v>
      </c>
      <c r="B17" t="s">
        <v>233</v>
      </c>
      <c r="C17" t="s">
        <v>94</v>
      </c>
      <c r="D17" t="s">
        <v>217</v>
      </c>
      <c r="E17" t="s">
        <v>239</v>
      </c>
      <c r="F17" t="s">
        <v>110</v>
      </c>
      <c r="G17" t="s">
        <v>115</v>
      </c>
      <c r="H17" s="7">
        <v>45</v>
      </c>
      <c r="I17" s="12">
        <v>1</v>
      </c>
      <c r="J17" s="4" t="str">
        <f t="shared" si="0"/>
        <v>&lt;15/&gt;15</v>
      </c>
      <c r="P17" s="9" t="s">
        <v>417</v>
      </c>
      <c r="Q17" s="1"/>
      <c r="R17" s="1"/>
    </row>
    <row r="18" spans="1:20" x14ac:dyDescent="0.2">
      <c r="A18" t="s">
        <v>143</v>
      </c>
      <c r="B18" t="s">
        <v>143</v>
      </c>
      <c r="C18" t="s">
        <v>143</v>
      </c>
      <c r="D18" t="s">
        <v>217</v>
      </c>
      <c r="E18" t="s">
        <v>143</v>
      </c>
      <c r="F18" t="s">
        <v>110</v>
      </c>
      <c r="G18" t="s">
        <v>115</v>
      </c>
      <c r="H18" s="7">
        <v>45</v>
      </c>
      <c r="I18" s="12">
        <v>0.5</v>
      </c>
      <c r="J18" s="4" t="str">
        <f t="shared" si="0"/>
        <v>missing_age_2</v>
      </c>
      <c r="S18" t="s">
        <v>170</v>
      </c>
    </row>
    <row r="19" spans="1:20" x14ac:dyDescent="0.2">
      <c r="A19" t="s">
        <v>174</v>
      </c>
      <c r="B19" t="s">
        <v>233</v>
      </c>
      <c r="C19" t="s">
        <v>84</v>
      </c>
      <c r="D19" t="s">
        <v>217</v>
      </c>
      <c r="E19" t="s">
        <v>252</v>
      </c>
      <c r="F19" t="s">
        <v>107</v>
      </c>
      <c r="G19" t="s">
        <v>119</v>
      </c>
      <c r="H19" s="7">
        <v>50</v>
      </c>
      <c r="I19" s="13">
        <v>1</v>
      </c>
      <c r="J19" s="4" t="str">
        <f t="shared" si="0"/>
        <v>&lt;1-18+</v>
      </c>
      <c r="O19" t="s">
        <v>229</v>
      </c>
    </row>
    <row r="20" spans="1:20" x14ac:dyDescent="0.2">
      <c r="A20" t="s">
        <v>174</v>
      </c>
      <c r="B20" t="s">
        <v>233</v>
      </c>
      <c r="C20" t="s">
        <v>93</v>
      </c>
      <c r="D20" t="s">
        <v>217</v>
      </c>
      <c r="E20" t="s">
        <v>253</v>
      </c>
      <c r="F20" t="s">
        <v>108</v>
      </c>
      <c r="G20" t="s">
        <v>120</v>
      </c>
      <c r="H20" s="7">
        <v>60</v>
      </c>
      <c r="I20" s="12">
        <v>0.125</v>
      </c>
      <c r="J20" s="4" t="str">
        <f t="shared" si="0"/>
        <v>&lt;15/&gt;15.d</v>
      </c>
      <c r="P20" s="9" t="s">
        <v>171</v>
      </c>
    </row>
    <row r="21" spans="1:20" x14ac:dyDescent="0.2">
      <c r="A21" t="s">
        <v>174</v>
      </c>
      <c r="B21" t="s">
        <v>233</v>
      </c>
      <c r="C21" t="s">
        <v>85</v>
      </c>
      <c r="D21" t="s">
        <v>217</v>
      </c>
      <c r="E21" t="s">
        <v>243</v>
      </c>
      <c r="F21" t="s">
        <v>108</v>
      </c>
      <c r="G21" t="s">
        <v>120</v>
      </c>
      <c r="H21" s="7">
        <v>60</v>
      </c>
      <c r="I21" s="13">
        <v>1</v>
      </c>
      <c r="J21" s="4" t="str">
        <f t="shared" si="0"/>
        <v>&lt;1-50+;1-50+;10-50+;15-50+;1-50+/&lt;5;10-50+.all</v>
      </c>
      <c r="K21" s="9" t="s">
        <v>149</v>
      </c>
      <c r="L21" s="9" t="s">
        <v>151</v>
      </c>
      <c r="M21" s="9" t="s">
        <v>140</v>
      </c>
      <c r="N21" s="9" t="s">
        <v>155</v>
      </c>
      <c r="R21" s="9" t="s">
        <v>226</v>
      </c>
      <c r="T21" s="9" t="s">
        <v>183</v>
      </c>
    </row>
    <row r="22" spans="1:20" x14ac:dyDescent="0.2">
      <c r="A22" t="s">
        <v>143</v>
      </c>
      <c r="B22" t="s">
        <v>143</v>
      </c>
      <c r="C22" t="s">
        <v>143</v>
      </c>
      <c r="D22" t="s">
        <v>217</v>
      </c>
      <c r="E22" t="s">
        <v>143</v>
      </c>
      <c r="F22" t="s">
        <v>108</v>
      </c>
      <c r="G22" t="s">
        <v>120</v>
      </c>
      <c r="H22" s="7">
        <v>60</v>
      </c>
      <c r="I22" s="12">
        <v>0.1111</v>
      </c>
      <c r="J22" s="4" t="str">
        <f t="shared" si="0"/>
        <v>missing_age_1</v>
      </c>
      <c r="K22" s="4"/>
      <c r="L22" s="4"/>
      <c r="M22" s="4"/>
      <c r="N22" s="4"/>
      <c r="O22" s="4"/>
      <c r="P22" s="4"/>
      <c r="S22" t="s">
        <v>169</v>
      </c>
    </row>
    <row r="23" spans="1:20" ht="18" x14ac:dyDescent="0.2">
      <c r="A23" t="s">
        <v>174</v>
      </c>
      <c r="B23" t="s">
        <v>233</v>
      </c>
      <c r="C23" t="s">
        <v>93</v>
      </c>
      <c r="D23" t="s">
        <v>217</v>
      </c>
      <c r="E23" t="s">
        <v>253</v>
      </c>
      <c r="F23" t="s">
        <v>111</v>
      </c>
      <c r="G23" t="s">
        <v>112</v>
      </c>
      <c r="H23" s="8">
        <v>65</v>
      </c>
      <c r="I23" s="12">
        <v>1</v>
      </c>
      <c r="J23" s="4" t="str">
        <f t="shared" si="0"/>
        <v>&lt;15/&gt;15</v>
      </c>
      <c r="P23" s="9" t="s">
        <v>417</v>
      </c>
    </row>
    <row r="24" spans="1:20" x14ac:dyDescent="0.2">
      <c r="A24" t="s">
        <v>143</v>
      </c>
      <c r="B24" t="s">
        <v>143</v>
      </c>
      <c r="C24" t="s">
        <v>143</v>
      </c>
      <c r="D24" t="s">
        <v>217</v>
      </c>
      <c r="E24" t="s">
        <v>143</v>
      </c>
      <c r="F24" t="s">
        <v>111</v>
      </c>
      <c r="G24" t="s">
        <v>112</v>
      </c>
      <c r="H24" s="7">
        <v>65</v>
      </c>
      <c r="I24" s="12">
        <v>0.5</v>
      </c>
      <c r="J24" s="4" t="str">
        <f t="shared" si="0"/>
        <v>missing_age_2</v>
      </c>
      <c r="K24" s="4"/>
      <c r="L24" s="4"/>
      <c r="M24" s="4"/>
      <c r="N24" s="4"/>
      <c r="O24" s="4"/>
      <c r="P24" s="4"/>
      <c r="S24" t="s">
        <v>170</v>
      </c>
    </row>
    <row r="25" spans="1:20" x14ac:dyDescent="0.2">
      <c r="A25" t="s">
        <v>174</v>
      </c>
      <c r="B25" t="s">
        <v>233</v>
      </c>
      <c r="C25" t="s">
        <v>475</v>
      </c>
      <c r="D25" t="s">
        <v>217</v>
      </c>
      <c r="E25" t="s">
        <v>476</v>
      </c>
      <c r="F25" t="s">
        <v>230</v>
      </c>
      <c r="G25" t="s">
        <v>231</v>
      </c>
      <c r="H25" s="7">
        <v>70</v>
      </c>
      <c r="I25" s="13">
        <v>1</v>
      </c>
      <c r="J25" s="4" t="str">
        <f t="shared" si="0"/>
        <v>&lt;1-18+</v>
      </c>
      <c r="K25" s="5"/>
      <c r="L25" s="5"/>
      <c r="M25" s="5"/>
      <c r="N25" s="5"/>
      <c r="O25" t="s">
        <v>229</v>
      </c>
      <c r="P25" s="5"/>
    </row>
    <row r="26" spans="1:20" x14ac:dyDescent="0.2">
      <c r="A26" t="s">
        <v>174</v>
      </c>
      <c r="B26" t="s">
        <v>233</v>
      </c>
      <c r="C26" t="s">
        <v>86</v>
      </c>
      <c r="D26" t="s">
        <v>217</v>
      </c>
      <c r="E26" t="s">
        <v>244</v>
      </c>
      <c r="F26" t="s">
        <v>230</v>
      </c>
      <c r="G26" t="s">
        <v>231</v>
      </c>
      <c r="H26" s="7">
        <v>70</v>
      </c>
      <c r="I26" s="13">
        <v>1</v>
      </c>
      <c r="J26" s="4" t="str">
        <f t="shared" si="0"/>
        <v>&lt;1-18+</v>
      </c>
      <c r="K26" s="5"/>
      <c r="L26" s="5"/>
      <c r="M26" s="5"/>
      <c r="N26" s="5"/>
      <c r="O26" t="s">
        <v>229</v>
      </c>
      <c r="P26" s="5"/>
    </row>
    <row r="27" spans="1:20" x14ac:dyDescent="0.2">
      <c r="A27" t="s">
        <v>174</v>
      </c>
      <c r="B27" t="s">
        <v>233</v>
      </c>
      <c r="C27" t="s">
        <v>93</v>
      </c>
      <c r="D27" t="s">
        <v>217</v>
      </c>
      <c r="E27" t="s">
        <v>253</v>
      </c>
      <c r="F27" t="s">
        <v>109</v>
      </c>
      <c r="G27" t="s">
        <v>121</v>
      </c>
      <c r="H27" s="7">
        <v>80</v>
      </c>
      <c r="I27" s="13">
        <v>0.125</v>
      </c>
      <c r="J27" s="4" t="str">
        <f t="shared" si="0"/>
        <v>&lt;15/&gt;15.d</v>
      </c>
      <c r="P27" s="9" t="s">
        <v>171</v>
      </c>
    </row>
    <row r="28" spans="1:20" x14ac:dyDescent="0.2">
      <c r="A28" t="s">
        <v>174</v>
      </c>
      <c r="B28" t="s">
        <v>233</v>
      </c>
      <c r="C28" t="s">
        <v>87</v>
      </c>
      <c r="D28" t="s">
        <v>217</v>
      </c>
      <c r="E28" t="s">
        <v>245</v>
      </c>
      <c r="F28" t="s">
        <v>109</v>
      </c>
      <c r="G28" t="s">
        <v>121</v>
      </c>
      <c r="H28" s="7">
        <v>80</v>
      </c>
      <c r="I28" s="13">
        <v>1</v>
      </c>
      <c r="J28" s="4" t="str">
        <f t="shared" si="0"/>
        <v>&lt;1-50+;1-50+;10-50+;15-50+;1-50+/&lt;5;10-50+.all</v>
      </c>
      <c r="K28" s="9" t="s">
        <v>149</v>
      </c>
      <c r="L28" s="9" t="s">
        <v>151</v>
      </c>
      <c r="M28" s="9" t="s">
        <v>140</v>
      </c>
      <c r="N28" s="9" t="s">
        <v>155</v>
      </c>
      <c r="R28" s="9" t="s">
        <v>226</v>
      </c>
      <c r="T28" s="9" t="s">
        <v>183</v>
      </c>
    </row>
    <row r="29" spans="1:20" x14ac:dyDescent="0.2">
      <c r="A29" t="s">
        <v>143</v>
      </c>
      <c r="B29" t="s">
        <v>143</v>
      </c>
      <c r="C29" t="s">
        <v>143</v>
      </c>
      <c r="D29" t="s">
        <v>217</v>
      </c>
      <c r="E29" t="s">
        <v>143</v>
      </c>
      <c r="F29" t="s">
        <v>109</v>
      </c>
      <c r="G29" t="s">
        <v>121</v>
      </c>
      <c r="H29" s="7">
        <v>80</v>
      </c>
      <c r="I29" s="12">
        <v>0.1111</v>
      </c>
      <c r="J29" s="4" t="str">
        <f t="shared" si="0"/>
        <v>missing_age_1</v>
      </c>
      <c r="K29" s="4"/>
      <c r="L29" s="4"/>
      <c r="M29" s="4"/>
      <c r="N29" s="4"/>
      <c r="O29" s="4"/>
      <c r="P29" s="4"/>
      <c r="S29" t="s">
        <v>169</v>
      </c>
    </row>
    <row r="30" spans="1:20" x14ac:dyDescent="0.2">
      <c r="A30" t="s">
        <v>174</v>
      </c>
      <c r="B30" t="s">
        <v>233</v>
      </c>
      <c r="C30" t="s">
        <v>93</v>
      </c>
      <c r="D30" t="s">
        <v>217</v>
      </c>
      <c r="E30" t="s">
        <v>253</v>
      </c>
      <c r="F30" t="s">
        <v>100</v>
      </c>
      <c r="G30" t="s">
        <v>122</v>
      </c>
      <c r="H30" s="7">
        <v>90</v>
      </c>
      <c r="I30" s="13">
        <v>0.125</v>
      </c>
      <c r="J30" s="4" t="str">
        <f t="shared" si="0"/>
        <v>&lt;15/&gt;15.d</v>
      </c>
      <c r="P30" s="9" t="s">
        <v>171</v>
      </c>
    </row>
    <row r="31" spans="1:20" x14ac:dyDescent="0.2">
      <c r="A31" t="s">
        <v>174</v>
      </c>
      <c r="B31" t="s">
        <v>233</v>
      </c>
      <c r="C31" t="s">
        <v>88</v>
      </c>
      <c r="D31" t="s">
        <v>217</v>
      </c>
      <c r="E31" t="s">
        <v>246</v>
      </c>
      <c r="F31" t="s">
        <v>100</v>
      </c>
      <c r="G31" t="s">
        <v>122</v>
      </c>
      <c r="H31" s="7">
        <v>90</v>
      </c>
      <c r="I31" s="13">
        <v>1</v>
      </c>
      <c r="J31" s="4" t="str">
        <f t="shared" si="0"/>
        <v>&lt;1-50+;1-50+;10-50+;15-50+;1-50+/&lt;5;10-50+.all</v>
      </c>
      <c r="K31" s="9" t="s">
        <v>149</v>
      </c>
      <c r="L31" s="9" t="s">
        <v>151</v>
      </c>
      <c r="M31" s="9" t="s">
        <v>140</v>
      </c>
      <c r="N31" s="9" t="s">
        <v>155</v>
      </c>
      <c r="O31" s="5"/>
      <c r="P31" s="5"/>
      <c r="R31" s="9" t="s">
        <v>226</v>
      </c>
      <c r="T31" s="9" t="s">
        <v>183</v>
      </c>
    </row>
    <row r="32" spans="1:20" x14ac:dyDescent="0.2">
      <c r="A32" t="s">
        <v>174</v>
      </c>
      <c r="B32" t="s">
        <v>233</v>
      </c>
      <c r="C32" t="s">
        <v>96</v>
      </c>
      <c r="D32" t="s">
        <v>217</v>
      </c>
      <c r="E32" t="s">
        <v>247</v>
      </c>
      <c r="F32" t="s">
        <v>100</v>
      </c>
      <c r="G32" t="s">
        <v>122</v>
      </c>
      <c r="H32" s="7">
        <v>90</v>
      </c>
      <c r="I32" s="13">
        <v>0.2</v>
      </c>
      <c r="J32" s="4" t="str">
        <f t="shared" si="0"/>
        <v>10-50+.all</v>
      </c>
      <c r="T32" t="s">
        <v>183</v>
      </c>
    </row>
    <row r="33" spans="1:20" x14ac:dyDescent="0.2">
      <c r="A33" t="s">
        <v>143</v>
      </c>
      <c r="B33" t="s">
        <v>143</v>
      </c>
      <c r="C33" t="s">
        <v>143</v>
      </c>
      <c r="D33" t="s">
        <v>217</v>
      </c>
      <c r="E33" t="s">
        <v>143</v>
      </c>
      <c r="F33" t="s">
        <v>100</v>
      </c>
      <c r="G33" t="s">
        <v>122</v>
      </c>
      <c r="H33" s="7">
        <v>90</v>
      </c>
      <c r="I33" s="12">
        <v>0.1111</v>
      </c>
      <c r="J33" s="4" t="str">
        <f t="shared" si="0"/>
        <v>missing_age_1</v>
      </c>
      <c r="K33" s="4"/>
      <c r="L33" s="4"/>
      <c r="M33" s="4"/>
      <c r="N33" s="4"/>
      <c r="O33" s="4"/>
      <c r="P33" s="4"/>
      <c r="S33" t="s">
        <v>169</v>
      </c>
    </row>
    <row r="34" spans="1:20" x14ac:dyDescent="0.2">
      <c r="A34" t="s">
        <v>174</v>
      </c>
      <c r="B34" t="s">
        <v>233</v>
      </c>
      <c r="C34" t="s">
        <v>95</v>
      </c>
      <c r="D34" t="s">
        <v>217</v>
      </c>
      <c r="E34" t="s">
        <v>248</v>
      </c>
      <c r="F34" t="s">
        <v>230</v>
      </c>
      <c r="G34" t="s">
        <v>231</v>
      </c>
      <c r="H34" s="7">
        <v>100</v>
      </c>
      <c r="I34" s="13">
        <v>1</v>
      </c>
      <c r="J34" s="4" t="str">
        <f>_xlfn.TEXTJOIN(";",1,K34:AAB34)</f>
        <v>&lt;1-18+</v>
      </c>
      <c r="O34" t="s">
        <v>229</v>
      </c>
    </row>
    <row r="35" spans="1:20" x14ac:dyDescent="0.2">
      <c r="A35" t="s">
        <v>174</v>
      </c>
      <c r="B35" t="s">
        <v>233</v>
      </c>
      <c r="C35" t="s">
        <v>93</v>
      </c>
      <c r="D35" t="s">
        <v>217</v>
      </c>
      <c r="E35" t="s">
        <v>253</v>
      </c>
      <c r="F35" t="s">
        <v>101</v>
      </c>
      <c r="G35" t="s">
        <v>123</v>
      </c>
      <c r="H35" s="7">
        <v>110</v>
      </c>
      <c r="I35" s="13">
        <v>0.125</v>
      </c>
      <c r="J35" s="4" t="str">
        <f>_xlfn.TEXTJOIN(";",1,K35:AAB35)</f>
        <v>&lt;15/&gt;15.d</v>
      </c>
      <c r="P35" s="9" t="s">
        <v>171</v>
      </c>
    </row>
    <row r="36" spans="1:20" x14ac:dyDescent="0.2">
      <c r="A36" t="s">
        <v>174</v>
      </c>
      <c r="B36" t="s">
        <v>233</v>
      </c>
      <c r="C36" t="s">
        <v>96</v>
      </c>
      <c r="D36" t="s">
        <v>217</v>
      </c>
      <c r="E36" t="s">
        <v>247</v>
      </c>
      <c r="F36" t="s">
        <v>101</v>
      </c>
      <c r="G36" t="s">
        <v>123</v>
      </c>
      <c r="H36" s="7">
        <v>110</v>
      </c>
      <c r="I36" s="13">
        <v>0.2</v>
      </c>
      <c r="J36" s="4" t="str">
        <f>_xlfn.TEXTJOIN(";",1,K36:AAB36)</f>
        <v>10-50+.all</v>
      </c>
      <c r="T36" t="s">
        <v>183</v>
      </c>
    </row>
    <row r="37" spans="1:20" x14ac:dyDescent="0.2">
      <c r="A37" t="s">
        <v>174</v>
      </c>
      <c r="B37" t="s">
        <v>233</v>
      </c>
      <c r="C37" t="s">
        <v>89</v>
      </c>
      <c r="D37" t="s">
        <v>217</v>
      </c>
      <c r="E37" t="s">
        <v>249</v>
      </c>
      <c r="F37" t="s">
        <v>101</v>
      </c>
      <c r="G37" t="s">
        <v>123</v>
      </c>
      <c r="H37" s="7">
        <v>110</v>
      </c>
      <c r="I37" s="13">
        <v>1</v>
      </c>
      <c r="J37" s="4" t="str">
        <f>_xlfn.TEXTJOIN(";",1,K37:AAB37)</f>
        <v>&lt;1-50+;1-50+;10-50+;15-50+;1-50+/&lt;5;10-50+.all</v>
      </c>
      <c r="K37" s="9" t="s">
        <v>149</v>
      </c>
      <c r="L37" s="9" t="s">
        <v>151</v>
      </c>
      <c r="M37" s="9" t="s">
        <v>140</v>
      </c>
      <c r="N37" s="9" t="s">
        <v>155</v>
      </c>
      <c r="O37" s="5"/>
      <c r="P37" s="5"/>
      <c r="R37" s="9" t="s">
        <v>226</v>
      </c>
      <c r="T37" s="9" t="s">
        <v>183</v>
      </c>
    </row>
    <row r="38" spans="1:20" x14ac:dyDescent="0.2">
      <c r="A38" t="s">
        <v>143</v>
      </c>
      <c r="B38" t="s">
        <v>143</v>
      </c>
      <c r="C38" t="s">
        <v>143</v>
      </c>
      <c r="D38" t="s">
        <v>217</v>
      </c>
      <c r="E38" t="s">
        <v>143</v>
      </c>
      <c r="F38" t="s">
        <v>101</v>
      </c>
      <c r="G38" t="s">
        <v>123</v>
      </c>
      <c r="H38" s="7">
        <v>110</v>
      </c>
      <c r="I38" s="12">
        <v>0.11119999999999999</v>
      </c>
      <c r="J38" s="4" t="str">
        <f>_xlfn.TEXTJOIN(";",1,K38:AAB38)</f>
        <v>missing_age_1</v>
      </c>
      <c r="K38" s="4"/>
      <c r="L38" s="4"/>
      <c r="M38" s="4"/>
      <c r="N38" s="4"/>
      <c r="O38" s="4"/>
      <c r="P38" s="4"/>
      <c r="S38" t="s">
        <v>169</v>
      </c>
    </row>
    <row r="39" spans="1:20" x14ac:dyDescent="0.2">
      <c r="A39" t="s">
        <v>174</v>
      </c>
      <c r="B39" t="s">
        <v>233</v>
      </c>
      <c r="C39" t="s">
        <v>93</v>
      </c>
      <c r="D39" t="s">
        <v>217</v>
      </c>
      <c r="E39" t="s">
        <v>253</v>
      </c>
      <c r="F39" t="s">
        <v>102</v>
      </c>
      <c r="G39" t="s">
        <v>124</v>
      </c>
      <c r="H39" s="7">
        <v>120</v>
      </c>
      <c r="I39" s="13">
        <v>0.125</v>
      </c>
      <c r="J39" s="4" t="str">
        <f>_xlfn.TEXTJOIN(";",1,K39:AAB39)</f>
        <v>&lt;15/&gt;15.d</v>
      </c>
      <c r="P39" s="9" t="s">
        <v>171</v>
      </c>
    </row>
    <row r="40" spans="1:20" x14ac:dyDescent="0.2">
      <c r="A40" t="s">
        <v>174</v>
      </c>
      <c r="B40" t="s">
        <v>233</v>
      </c>
      <c r="C40" t="s">
        <v>96</v>
      </c>
      <c r="D40" t="s">
        <v>217</v>
      </c>
      <c r="E40" t="s">
        <v>247</v>
      </c>
      <c r="F40" t="s">
        <v>102</v>
      </c>
      <c r="G40" t="s">
        <v>124</v>
      </c>
      <c r="H40" s="7">
        <v>120</v>
      </c>
      <c r="I40" s="13">
        <v>0.2</v>
      </c>
      <c r="J40" s="4" t="str">
        <f>_xlfn.TEXTJOIN(";",1,K40:AAB40)</f>
        <v>10-50+.all</v>
      </c>
      <c r="T40" t="s">
        <v>183</v>
      </c>
    </row>
    <row r="41" spans="1:20" x14ac:dyDescent="0.2">
      <c r="A41" t="s">
        <v>174</v>
      </c>
      <c r="B41" t="s">
        <v>233</v>
      </c>
      <c r="C41" t="s">
        <v>90</v>
      </c>
      <c r="D41" t="s">
        <v>217</v>
      </c>
      <c r="E41" t="s">
        <v>250</v>
      </c>
      <c r="F41" t="s">
        <v>102</v>
      </c>
      <c r="G41" t="s">
        <v>124</v>
      </c>
      <c r="H41" s="7">
        <v>120</v>
      </c>
      <c r="I41" s="13">
        <v>1</v>
      </c>
      <c r="J41" s="4" t="str">
        <f>_xlfn.TEXTJOIN(";",1,K41:AAB41)</f>
        <v>&lt;1-50+;1-50+;10-50+;15-50+;1-50+/&lt;5;10-50+.all</v>
      </c>
      <c r="K41" s="9" t="s">
        <v>149</v>
      </c>
      <c r="L41" s="9" t="s">
        <v>151</v>
      </c>
      <c r="M41" s="9" t="s">
        <v>140</v>
      </c>
      <c r="N41" s="9" t="s">
        <v>155</v>
      </c>
      <c r="R41" s="9" t="s">
        <v>226</v>
      </c>
      <c r="T41" s="9" t="s">
        <v>183</v>
      </c>
    </row>
    <row r="42" spans="1:20" x14ac:dyDescent="0.2">
      <c r="A42" t="s">
        <v>143</v>
      </c>
      <c r="B42" t="s">
        <v>143</v>
      </c>
      <c r="C42" t="s">
        <v>143</v>
      </c>
      <c r="D42" t="s">
        <v>217</v>
      </c>
      <c r="E42" t="s">
        <v>143</v>
      </c>
      <c r="F42" t="s">
        <v>102</v>
      </c>
      <c r="G42" t="s">
        <v>124</v>
      </c>
      <c r="H42" s="7">
        <v>120</v>
      </c>
      <c r="I42" s="12">
        <v>0.1111</v>
      </c>
      <c r="J42" s="4" t="str">
        <f>_xlfn.TEXTJOIN(";",1,K42:AAB42)</f>
        <v>missing_age_1</v>
      </c>
      <c r="K42" s="4"/>
      <c r="L42" s="4"/>
      <c r="M42" s="4"/>
      <c r="N42" s="4"/>
      <c r="O42" s="4"/>
      <c r="P42" s="4"/>
      <c r="S42" t="s">
        <v>169</v>
      </c>
    </row>
    <row r="43" spans="1:20" x14ac:dyDescent="0.2">
      <c r="A43" t="s">
        <v>174</v>
      </c>
      <c r="B43" t="s">
        <v>233</v>
      </c>
      <c r="C43" t="s">
        <v>477</v>
      </c>
      <c r="D43" t="s">
        <v>217</v>
      </c>
      <c r="E43" t="s">
        <v>478</v>
      </c>
      <c r="F43" t="s">
        <v>103</v>
      </c>
      <c r="G43" t="s">
        <v>125</v>
      </c>
      <c r="H43" s="7">
        <v>130</v>
      </c>
      <c r="I43" s="13">
        <v>1</v>
      </c>
      <c r="J43" s="4" t="str">
        <f>_xlfn.TEXTJOIN(";",1,K43:AAB43)</f>
        <v>&lt;1-50+;1-50+;10-50+;15-50+;1-50+/&lt;5;10-50+.all</v>
      </c>
      <c r="K43" s="9" t="s">
        <v>149</v>
      </c>
      <c r="L43" s="9" t="s">
        <v>151</v>
      </c>
      <c r="M43" s="9" t="s">
        <v>140</v>
      </c>
      <c r="N43" s="9" t="s">
        <v>155</v>
      </c>
      <c r="R43" s="9" t="s">
        <v>226</v>
      </c>
      <c r="T43" s="9" t="s">
        <v>183</v>
      </c>
    </row>
    <row r="44" spans="1:20" x14ac:dyDescent="0.2">
      <c r="A44" t="s">
        <v>174</v>
      </c>
      <c r="B44" t="s">
        <v>233</v>
      </c>
      <c r="C44" t="s">
        <v>93</v>
      </c>
      <c r="D44" t="s">
        <v>217</v>
      </c>
      <c r="E44" t="s">
        <v>253</v>
      </c>
      <c r="F44" t="s">
        <v>103</v>
      </c>
      <c r="G44" t="s">
        <v>125</v>
      </c>
      <c r="H44" s="7">
        <v>130</v>
      </c>
      <c r="I44" s="13">
        <v>0.125</v>
      </c>
      <c r="J44" s="4" t="str">
        <f>_xlfn.TEXTJOIN(";",1,K44:AAB44)</f>
        <v>&lt;15/&gt;15.d</v>
      </c>
      <c r="P44" s="9" t="s">
        <v>171</v>
      </c>
    </row>
    <row r="45" spans="1:20" x14ac:dyDescent="0.2">
      <c r="A45" t="s">
        <v>174</v>
      </c>
      <c r="B45" t="s">
        <v>233</v>
      </c>
      <c r="C45" t="s">
        <v>96</v>
      </c>
      <c r="D45" t="s">
        <v>217</v>
      </c>
      <c r="E45" t="s">
        <v>247</v>
      </c>
      <c r="F45" t="s">
        <v>103</v>
      </c>
      <c r="G45" t="s">
        <v>125</v>
      </c>
      <c r="H45" s="7">
        <v>130</v>
      </c>
      <c r="I45" s="13">
        <v>0.2</v>
      </c>
      <c r="J45" s="4" t="str">
        <f>_xlfn.TEXTJOIN(";",1,K45:AAB45)</f>
        <v>10-50+.all</v>
      </c>
      <c r="T45" t="s">
        <v>183</v>
      </c>
    </row>
    <row r="46" spans="1:20" x14ac:dyDescent="0.2">
      <c r="A46" t="s">
        <v>174</v>
      </c>
      <c r="B46" t="s">
        <v>233</v>
      </c>
      <c r="C46" t="s">
        <v>91</v>
      </c>
      <c r="D46" t="s">
        <v>217</v>
      </c>
      <c r="E46" t="s">
        <v>251</v>
      </c>
      <c r="F46" t="s">
        <v>103</v>
      </c>
      <c r="G46" t="s">
        <v>125</v>
      </c>
      <c r="H46" s="7">
        <v>130</v>
      </c>
      <c r="I46" s="13">
        <v>0.5</v>
      </c>
      <c r="J46" s="4" t="str">
        <f>_xlfn.TEXTJOIN(";",1,K46:AAB46)</f>
        <v>&lt;1-50+;1-50+;10-50+;15-50+;1-50+/&lt;5;10-50+.all</v>
      </c>
      <c r="K46" s="9" t="s">
        <v>149</v>
      </c>
      <c r="L46" s="9" t="s">
        <v>151</v>
      </c>
      <c r="M46" s="9" t="s">
        <v>140</v>
      </c>
      <c r="N46" s="9" t="s">
        <v>155</v>
      </c>
      <c r="R46" s="9" t="s">
        <v>226</v>
      </c>
      <c r="T46" s="9" t="s">
        <v>183</v>
      </c>
    </row>
    <row r="47" spans="1:20" x14ac:dyDescent="0.2">
      <c r="A47" t="s">
        <v>143</v>
      </c>
      <c r="B47" t="s">
        <v>143</v>
      </c>
      <c r="C47" t="s">
        <v>143</v>
      </c>
      <c r="D47" t="s">
        <v>217</v>
      </c>
      <c r="E47" t="s">
        <v>143</v>
      </c>
      <c r="F47" t="s">
        <v>103</v>
      </c>
      <c r="G47" t="s">
        <v>125</v>
      </c>
      <c r="H47" s="7">
        <v>130</v>
      </c>
      <c r="I47" s="12">
        <v>0.1111</v>
      </c>
      <c r="J47" s="4" t="str">
        <f>_xlfn.TEXTJOIN(";",1,K47:AAB47)</f>
        <v>missing_age_1</v>
      </c>
      <c r="K47" s="4"/>
      <c r="L47" s="4"/>
      <c r="M47" s="4"/>
      <c r="N47" s="4"/>
      <c r="O47" s="4"/>
      <c r="P47" s="4"/>
      <c r="S47" t="s">
        <v>169</v>
      </c>
    </row>
    <row r="48" spans="1:20" x14ac:dyDescent="0.2">
      <c r="A48" t="s">
        <v>174</v>
      </c>
      <c r="B48" t="s">
        <v>233</v>
      </c>
      <c r="C48" t="s">
        <v>479</v>
      </c>
      <c r="D48" t="s">
        <v>217</v>
      </c>
      <c r="E48" t="s">
        <v>480</v>
      </c>
      <c r="F48" t="s">
        <v>104</v>
      </c>
      <c r="G48" t="s">
        <v>126</v>
      </c>
      <c r="H48" s="7">
        <v>140</v>
      </c>
      <c r="I48" s="13">
        <v>1</v>
      </c>
      <c r="J48" s="4" t="str">
        <f>_xlfn.TEXTJOIN(";",1,K48:AAB48)</f>
        <v>&lt;1-50+;1-50+;10-50+;15-50+;1-50+/&lt;5;10-50+.all</v>
      </c>
      <c r="K48" s="9" t="s">
        <v>149</v>
      </c>
      <c r="L48" s="9" t="s">
        <v>151</v>
      </c>
      <c r="M48" s="9" t="s">
        <v>140</v>
      </c>
      <c r="N48" s="9" t="s">
        <v>155</v>
      </c>
      <c r="R48" s="9" t="s">
        <v>226</v>
      </c>
      <c r="T48" s="9" t="s">
        <v>183</v>
      </c>
    </row>
    <row r="49" spans="1:24" x14ac:dyDescent="0.2">
      <c r="A49" t="s">
        <v>174</v>
      </c>
      <c r="B49" t="s">
        <v>233</v>
      </c>
      <c r="C49" t="s">
        <v>93</v>
      </c>
      <c r="D49" t="s">
        <v>217</v>
      </c>
      <c r="E49" t="s">
        <v>253</v>
      </c>
      <c r="F49" t="s">
        <v>104</v>
      </c>
      <c r="G49" t="s">
        <v>126</v>
      </c>
      <c r="H49" s="7">
        <v>140</v>
      </c>
      <c r="I49" s="13">
        <v>0.125</v>
      </c>
      <c r="J49" s="4" t="str">
        <f>_xlfn.TEXTJOIN(";",1,K49:AAB49)</f>
        <v>&lt;15/&gt;15.d</v>
      </c>
      <c r="P49" s="9" t="s">
        <v>171</v>
      </c>
    </row>
    <row r="50" spans="1:24" x14ac:dyDescent="0.2">
      <c r="A50" t="s">
        <v>174</v>
      </c>
      <c r="B50" t="s">
        <v>233</v>
      </c>
      <c r="C50" t="s">
        <v>96</v>
      </c>
      <c r="D50" t="s">
        <v>217</v>
      </c>
      <c r="E50" t="s">
        <v>247</v>
      </c>
      <c r="F50" t="s">
        <v>104</v>
      </c>
      <c r="G50" t="s">
        <v>126</v>
      </c>
      <c r="H50" s="7">
        <v>140</v>
      </c>
      <c r="I50" s="13">
        <v>0.2</v>
      </c>
      <c r="J50" s="4" t="str">
        <f>_xlfn.TEXTJOIN(";",1,K50:AAB50)</f>
        <v>10-50+.all</v>
      </c>
      <c r="T50" t="s">
        <v>183</v>
      </c>
    </row>
    <row r="51" spans="1:24" x14ac:dyDescent="0.2">
      <c r="A51" t="s">
        <v>174</v>
      </c>
      <c r="B51" t="s">
        <v>233</v>
      </c>
      <c r="C51" t="s">
        <v>91</v>
      </c>
      <c r="D51" t="s">
        <v>217</v>
      </c>
      <c r="E51" t="s">
        <v>251</v>
      </c>
      <c r="F51" t="s">
        <v>104</v>
      </c>
      <c r="G51" t="s">
        <v>126</v>
      </c>
      <c r="H51" s="7">
        <v>140</v>
      </c>
      <c r="I51" s="13">
        <v>0.5</v>
      </c>
      <c r="J51" s="4" t="str">
        <f>_xlfn.TEXTJOIN(";",1,K51:AAB51)</f>
        <v>&lt;1-50+;1-50+;10-50+;15-50+;1-50+/&lt;5;10-50+.all</v>
      </c>
      <c r="K51" s="9" t="s">
        <v>149</v>
      </c>
      <c r="L51" s="9" t="s">
        <v>151</v>
      </c>
      <c r="M51" s="9" t="s">
        <v>140</v>
      </c>
      <c r="N51" s="9" t="s">
        <v>155</v>
      </c>
      <c r="R51" s="9" t="s">
        <v>226</v>
      </c>
      <c r="T51" s="9" t="s">
        <v>183</v>
      </c>
    </row>
    <row r="52" spans="1:24" x14ac:dyDescent="0.2">
      <c r="A52" t="s">
        <v>143</v>
      </c>
      <c r="B52" t="s">
        <v>143</v>
      </c>
      <c r="C52" t="s">
        <v>143</v>
      </c>
      <c r="D52" t="s">
        <v>217</v>
      </c>
      <c r="E52" t="s">
        <v>143</v>
      </c>
      <c r="F52" t="s">
        <v>104</v>
      </c>
      <c r="G52" t="s">
        <v>126</v>
      </c>
      <c r="H52" s="7">
        <v>140</v>
      </c>
      <c r="I52" s="12">
        <v>0.1111</v>
      </c>
      <c r="J52" s="4" t="str">
        <f>_xlfn.TEXTJOIN(";",1,K52:AAB52)</f>
        <v>missing_age_1</v>
      </c>
      <c r="K52" s="4"/>
      <c r="L52" s="4"/>
      <c r="M52" s="4"/>
      <c r="N52" s="4"/>
      <c r="O52" s="4"/>
      <c r="P52" s="4"/>
      <c r="S52" t="s">
        <v>169</v>
      </c>
    </row>
    <row r="53" spans="1:24" x14ac:dyDescent="0.2">
      <c r="A53" t="s">
        <v>174</v>
      </c>
      <c r="B53" t="s">
        <v>233</v>
      </c>
      <c r="C53" t="s">
        <v>93</v>
      </c>
      <c r="D53" t="s">
        <v>217</v>
      </c>
      <c r="E53" t="s">
        <v>253</v>
      </c>
      <c r="F53" t="s">
        <v>105</v>
      </c>
      <c r="G53" t="s">
        <v>116</v>
      </c>
      <c r="H53" s="7">
        <v>150</v>
      </c>
      <c r="I53" s="13">
        <v>0.125</v>
      </c>
      <c r="J53" s="4" t="str">
        <f>_xlfn.TEXTJOIN(";",1,K53:AAB53)</f>
        <v>&lt;15/&gt;15.d</v>
      </c>
      <c r="P53" s="9" t="s">
        <v>171</v>
      </c>
    </row>
    <row r="54" spans="1:24" x14ac:dyDescent="0.2">
      <c r="A54" t="s">
        <v>174</v>
      </c>
      <c r="B54" t="s">
        <v>233</v>
      </c>
      <c r="C54" t="s">
        <v>92</v>
      </c>
      <c r="D54" t="s">
        <v>217</v>
      </c>
      <c r="E54" t="s">
        <v>254</v>
      </c>
      <c r="F54" t="s">
        <v>105</v>
      </c>
      <c r="G54" t="s">
        <v>116</v>
      </c>
      <c r="H54" s="7">
        <v>150</v>
      </c>
      <c r="I54" s="13">
        <v>1</v>
      </c>
      <c r="J54" s="4" t="str">
        <f>_xlfn.TEXTJOIN(";",1,K54:AAB54)</f>
        <v>&lt;1-50+;1-50+;10-50+;15-50+;1-50+/&lt;5;10-50+.all</v>
      </c>
      <c r="K54" s="9" t="s">
        <v>149</v>
      </c>
      <c r="L54" s="9" t="s">
        <v>151</v>
      </c>
      <c r="M54" s="9" t="s">
        <v>140</v>
      </c>
      <c r="N54" s="9" t="s">
        <v>155</v>
      </c>
      <c r="R54" s="9" t="s">
        <v>226</v>
      </c>
      <c r="T54" s="9" t="s">
        <v>183</v>
      </c>
    </row>
    <row r="55" spans="1:24" x14ac:dyDescent="0.2">
      <c r="A55" t="s">
        <v>143</v>
      </c>
      <c r="B55" t="s">
        <v>143</v>
      </c>
      <c r="C55" t="s">
        <v>143</v>
      </c>
      <c r="D55" t="s">
        <v>217</v>
      </c>
      <c r="E55" t="s">
        <v>143</v>
      </c>
      <c r="F55" t="s">
        <v>105</v>
      </c>
      <c r="G55" t="s">
        <v>116</v>
      </c>
      <c r="H55" s="7">
        <v>150</v>
      </c>
      <c r="I55" s="12">
        <v>0.1111</v>
      </c>
      <c r="J55" s="4" t="str">
        <f>_xlfn.TEXTJOIN(";",1,K55:AAB55)</f>
        <v>missing_age_1</v>
      </c>
      <c r="K55" s="4"/>
      <c r="L55" s="4"/>
      <c r="M55" s="4"/>
      <c r="N55" s="4"/>
      <c r="O55" s="4"/>
      <c r="P55" s="4"/>
      <c r="S55" t="s">
        <v>169</v>
      </c>
    </row>
    <row r="56" spans="1:24" x14ac:dyDescent="0.2">
      <c r="A56" t="s">
        <v>175</v>
      </c>
      <c r="B56" t="s">
        <v>176</v>
      </c>
      <c r="C56" t="s">
        <v>132</v>
      </c>
      <c r="D56" t="s">
        <v>216</v>
      </c>
      <c r="E56" t="s">
        <v>131</v>
      </c>
      <c r="F56" t="s">
        <v>136</v>
      </c>
      <c r="G56" t="s">
        <v>138</v>
      </c>
      <c r="H56" s="7">
        <v>201</v>
      </c>
      <c r="I56" s="13">
        <v>1</v>
      </c>
      <c r="J56" s="4" t="str">
        <f>_xlfn.TEXTJOIN(";",1,K56:AAB56)</f>
        <v>F;F/M;F/M/U</v>
      </c>
      <c r="U56" t="s">
        <v>141</v>
      </c>
      <c r="V56" t="s">
        <v>145</v>
      </c>
      <c r="W56" t="s">
        <v>150</v>
      </c>
    </row>
    <row r="57" spans="1:24" x14ac:dyDescent="0.2">
      <c r="A57" t="s">
        <v>143</v>
      </c>
      <c r="B57" t="s">
        <v>143</v>
      </c>
      <c r="C57" t="s">
        <v>143</v>
      </c>
      <c r="D57" t="s">
        <v>216</v>
      </c>
      <c r="E57" t="s">
        <v>143</v>
      </c>
      <c r="F57" t="s">
        <v>136</v>
      </c>
      <c r="G57" t="s">
        <v>138</v>
      </c>
      <c r="H57">
        <v>201</v>
      </c>
      <c r="I57" s="12">
        <v>0.5</v>
      </c>
      <c r="J57" s="4" t="str">
        <f>_xlfn.TEXTJOIN(";",1,K57:AAB57)</f>
        <v>missing_sex_1</v>
      </c>
      <c r="K57" s="4"/>
      <c r="L57" s="4"/>
      <c r="M57" s="4"/>
      <c r="N57" s="4"/>
      <c r="O57" s="4"/>
      <c r="P57" s="4"/>
      <c r="S57" t="s">
        <v>168</v>
      </c>
    </row>
    <row r="58" spans="1:24" x14ac:dyDescent="0.2">
      <c r="A58" t="s">
        <v>175</v>
      </c>
      <c r="B58" t="s">
        <v>176</v>
      </c>
      <c r="C58" t="s">
        <v>133</v>
      </c>
      <c r="D58" t="s">
        <v>216</v>
      </c>
      <c r="E58" t="s">
        <v>134</v>
      </c>
      <c r="F58" t="s">
        <v>136</v>
      </c>
      <c r="G58" t="s">
        <v>138</v>
      </c>
      <c r="H58" s="7">
        <v>201</v>
      </c>
      <c r="I58" s="13">
        <v>0.5</v>
      </c>
      <c r="J58" s="4" t="str">
        <f>_xlfn.TEXTJOIN(";",1,K58:AAB58)</f>
        <v>U;F/M/U</v>
      </c>
      <c r="K58" s="5"/>
      <c r="L58" s="5"/>
      <c r="M58" s="5"/>
      <c r="N58" s="5"/>
      <c r="O58" s="5"/>
      <c r="P58" s="5"/>
      <c r="U58" t="s">
        <v>154</v>
      </c>
      <c r="W58" t="s">
        <v>150</v>
      </c>
    </row>
    <row r="59" spans="1:24" x14ac:dyDescent="0.2">
      <c r="A59" t="s">
        <v>175</v>
      </c>
      <c r="B59" t="s">
        <v>176</v>
      </c>
      <c r="C59" t="s">
        <v>130</v>
      </c>
      <c r="D59" t="s">
        <v>216</v>
      </c>
      <c r="E59" t="s">
        <v>129</v>
      </c>
      <c r="F59" t="s">
        <v>135</v>
      </c>
      <c r="G59" t="s">
        <v>137</v>
      </c>
      <c r="H59" s="7">
        <v>202</v>
      </c>
      <c r="I59" s="13">
        <v>1</v>
      </c>
      <c r="J59" s="4" t="str">
        <f>_xlfn.TEXTJOIN(";",1,K59:AAB59)</f>
        <v>M;F/M;F/M/U</v>
      </c>
      <c r="S59" s="5"/>
      <c r="T59" s="5"/>
      <c r="U59" t="s">
        <v>148</v>
      </c>
      <c r="V59" t="s">
        <v>145</v>
      </c>
      <c r="W59" t="s">
        <v>150</v>
      </c>
    </row>
    <row r="60" spans="1:24" x14ac:dyDescent="0.2">
      <c r="A60" t="s">
        <v>143</v>
      </c>
      <c r="B60" t="s">
        <v>143</v>
      </c>
      <c r="C60" t="s">
        <v>143</v>
      </c>
      <c r="D60" t="s">
        <v>216</v>
      </c>
      <c r="E60" t="s">
        <v>143</v>
      </c>
      <c r="F60" t="s">
        <v>135</v>
      </c>
      <c r="G60" t="s">
        <v>137</v>
      </c>
      <c r="H60" s="7">
        <v>202</v>
      </c>
      <c r="I60" s="12">
        <v>0.5</v>
      </c>
      <c r="J60" s="4" t="str">
        <f>_xlfn.TEXTJOIN(";",1,K60:AAB60)</f>
        <v>missing_sex_1</v>
      </c>
      <c r="K60" s="4"/>
      <c r="L60" s="4"/>
      <c r="M60" s="4"/>
      <c r="N60" s="4"/>
      <c r="O60" s="4"/>
      <c r="P60" s="4"/>
      <c r="S60" t="s">
        <v>168</v>
      </c>
    </row>
    <row r="61" spans="1:24" x14ac:dyDescent="0.2">
      <c r="A61" t="s">
        <v>175</v>
      </c>
      <c r="B61" t="s">
        <v>176</v>
      </c>
      <c r="C61" t="s">
        <v>133</v>
      </c>
      <c r="D61" t="s">
        <v>216</v>
      </c>
      <c r="E61" t="s">
        <v>134</v>
      </c>
      <c r="F61" t="s">
        <v>135</v>
      </c>
      <c r="G61" t="s">
        <v>137</v>
      </c>
      <c r="H61" s="7">
        <v>202</v>
      </c>
      <c r="I61" s="13">
        <v>0.5</v>
      </c>
      <c r="J61" s="4" t="str">
        <f>_xlfn.TEXTJOIN(";",1,K61:AAB61)</f>
        <v>U;F/M/U</v>
      </c>
      <c r="S61" s="5"/>
      <c r="T61" s="5"/>
      <c r="U61" t="s">
        <v>154</v>
      </c>
      <c r="W61" t="s">
        <v>150</v>
      </c>
    </row>
    <row r="62" spans="1:24" x14ac:dyDescent="0.2">
      <c r="A62" t="s">
        <v>184</v>
      </c>
      <c r="B62" t="s">
        <v>194</v>
      </c>
      <c r="C62" t="s">
        <v>189</v>
      </c>
      <c r="D62" t="s">
        <v>218</v>
      </c>
      <c r="E62" t="s">
        <v>190</v>
      </c>
      <c r="F62" t="s">
        <v>190</v>
      </c>
      <c r="G62" t="s">
        <v>189</v>
      </c>
      <c r="H62">
        <v>300</v>
      </c>
      <c r="I62" s="13">
        <v>1</v>
      </c>
      <c r="J62" s="4" t="str">
        <f>_xlfn.TEXTJOIN(";",1,K62:AAB62)</f>
        <v>kp1</v>
      </c>
      <c r="X62" t="s">
        <v>195</v>
      </c>
    </row>
    <row r="63" spans="1:24" x14ac:dyDescent="0.2">
      <c r="A63" t="s">
        <v>184</v>
      </c>
      <c r="B63" t="s">
        <v>194</v>
      </c>
      <c r="C63" t="s">
        <v>187</v>
      </c>
      <c r="D63" t="s">
        <v>218</v>
      </c>
      <c r="E63" t="s">
        <v>188</v>
      </c>
      <c r="F63" t="s">
        <v>188</v>
      </c>
      <c r="G63" t="s">
        <v>187</v>
      </c>
      <c r="H63">
        <v>310</v>
      </c>
      <c r="I63" s="13">
        <v>1</v>
      </c>
      <c r="J63" s="4" t="str">
        <f>_xlfn.TEXTJOIN(";",1,K63:AAB63)</f>
        <v>kp1</v>
      </c>
      <c r="X63" t="s">
        <v>195</v>
      </c>
    </row>
    <row r="64" spans="1:24" x14ac:dyDescent="0.2">
      <c r="A64" t="s">
        <v>184</v>
      </c>
      <c r="B64" t="s">
        <v>194</v>
      </c>
      <c r="C64" t="s">
        <v>192</v>
      </c>
      <c r="D64" t="s">
        <v>218</v>
      </c>
      <c r="E64" t="s">
        <v>193</v>
      </c>
      <c r="F64" t="s">
        <v>193</v>
      </c>
      <c r="G64" t="s">
        <v>192</v>
      </c>
      <c r="H64">
        <v>320</v>
      </c>
      <c r="I64" s="13">
        <v>1</v>
      </c>
      <c r="J64" s="4" t="str">
        <f>_xlfn.TEXTJOIN(";",1,K64:AAB64)</f>
        <v>kp1</v>
      </c>
      <c r="X64" t="s">
        <v>195</v>
      </c>
    </row>
    <row r="65" spans="1:30" x14ac:dyDescent="0.2">
      <c r="A65" t="s">
        <v>184</v>
      </c>
      <c r="B65" t="s">
        <v>194</v>
      </c>
      <c r="C65" t="s">
        <v>185</v>
      </c>
      <c r="D65" t="s">
        <v>218</v>
      </c>
      <c r="E65" t="s">
        <v>186</v>
      </c>
      <c r="F65" t="s">
        <v>186</v>
      </c>
      <c r="G65" t="s">
        <v>185</v>
      </c>
      <c r="H65" s="7">
        <v>330</v>
      </c>
      <c r="I65" s="13">
        <v>1</v>
      </c>
      <c r="J65" s="4" t="str">
        <f>_xlfn.TEXTJOIN(";",1,K65:AAB65)</f>
        <v>kp1</v>
      </c>
      <c r="X65" t="s">
        <v>195</v>
      </c>
    </row>
    <row r="66" spans="1:30" x14ac:dyDescent="0.2">
      <c r="A66" t="s">
        <v>184</v>
      </c>
      <c r="B66" t="s">
        <v>194</v>
      </c>
      <c r="C66" t="s">
        <v>191</v>
      </c>
      <c r="D66" t="s">
        <v>218</v>
      </c>
      <c r="E66" t="s">
        <v>214</v>
      </c>
      <c r="F66" t="s">
        <v>214</v>
      </c>
      <c r="G66" t="s">
        <v>191</v>
      </c>
      <c r="H66">
        <v>340</v>
      </c>
      <c r="I66" s="13">
        <v>1</v>
      </c>
      <c r="J66" s="4" t="str">
        <f>_xlfn.TEXTJOIN(";",1,K66:AAB66)</f>
        <v>kp1</v>
      </c>
      <c r="X66" t="s">
        <v>195</v>
      </c>
    </row>
    <row r="67" spans="1:30" x14ac:dyDescent="0.2">
      <c r="A67" t="s">
        <v>196</v>
      </c>
      <c r="B67" t="s">
        <v>197</v>
      </c>
      <c r="C67" t="s">
        <v>198</v>
      </c>
      <c r="D67" t="s">
        <v>255</v>
      </c>
      <c r="E67" t="s">
        <v>199</v>
      </c>
      <c r="F67" t="s">
        <v>199</v>
      </c>
      <c r="G67" t="s">
        <v>198</v>
      </c>
      <c r="H67">
        <v>10</v>
      </c>
      <c r="I67" s="13">
        <v>1</v>
      </c>
      <c r="J67" s="4" t="str">
        <f>_xlfn.TEXTJOIN(";",1,K67:AAB67)</f>
        <v>tr_pos</v>
      </c>
      <c r="Y67" t="s">
        <v>360</v>
      </c>
    </row>
    <row r="68" spans="1:30" x14ac:dyDescent="0.2">
      <c r="A68" t="s">
        <v>196</v>
      </c>
      <c r="B68" t="s">
        <v>197</v>
      </c>
      <c r="C68" t="s">
        <v>200</v>
      </c>
      <c r="D68" t="s">
        <v>255</v>
      </c>
      <c r="E68" t="s">
        <v>201</v>
      </c>
      <c r="F68" t="s">
        <v>201</v>
      </c>
      <c r="G68" t="s">
        <v>200</v>
      </c>
      <c r="H68">
        <v>20</v>
      </c>
      <c r="I68" s="13">
        <v>1</v>
      </c>
      <c r="J68" s="4" t="str">
        <f>_xlfn.TEXTJOIN(";",1,K68:AAB68)</f>
        <v>tr_neg</v>
      </c>
      <c r="Y68" t="s">
        <v>361</v>
      </c>
    </row>
    <row r="69" spans="1:30" x14ac:dyDescent="0.2">
      <c r="A69" t="s">
        <v>264</v>
      </c>
      <c r="B69" t="s">
        <v>265</v>
      </c>
      <c r="C69" t="s">
        <v>267</v>
      </c>
      <c r="D69" t="s">
        <v>288</v>
      </c>
      <c r="E69" t="s">
        <v>266</v>
      </c>
      <c r="F69" t="s">
        <v>276</v>
      </c>
      <c r="G69" t="s">
        <v>277</v>
      </c>
      <c r="H69">
        <v>10</v>
      </c>
      <c r="I69" s="13">
        <v>1</v>
      </c>
      <c r="J69" s="4" t="str">
        <f>_xlfn.TEXTJOIN(";",1,K69:AAB69)</f>
        <v>tss_NewPos</v>
      </c>
      <c r="AB69" t="s">
        <v>392</v>
      </c>
    </row>
    <row r="70" spans="1:30" x14ac:dyDescent="0.2">
      <c r="A70" t="s">
        <v>264</v>
      </c>
      <c r="B70" t="s">
        <v>265</v>
      </c>
      <c r="C70" t="s">
        <v>269</v>
      </c>
      <c r="D70" t="s">
        <v>288</v>
      </c>
      <c r="E70" t="s">
        <v>268</v>
      </c>
      <c r="F70" t="s">
        <v>272</v>
      </c>
      <c r="G70" t="s">
        <v>273</v>
      </c>
      <c r="H70">
        <v>20</v>
      </c>
      <c r="I70" s="13">
        <v>1</v>
      </c>
      <c r="J70" s="4" t="str">
        <f>_xlfn.TEXTJOIN(";",1,K70:AAB70)</f>
        <v>tss_KnowPos</v>
      </c>
      <c r="AB70" t="s">
        <v>393</v>
      </c>
    </row>
    <row r="71" spans="1:30" x14ac:dyDescent="0.2">
      <c r="A71" t="s">
        <v>264</v>
      </c>
      <c r="B71" t="s">
        <v>265</v>
      </c>
      <c r="C71" t="s">
        <v>271</v>
      </c>
      <c r="D71" t="s">
        <v>288</v>
      </c>
      <c r="E71" t="s">
        <v>270</v>
      </c>
      <c r="F71" t="s">
        <v>274</v>
      </c>
      <c r="G71" t="s">
        <v>275</v>
      </c>
      <c r="H71">
        <v>30</v>
      </c>
      <c r="I71" s="13">
        <v>1</v>
      </c>
      <c r="J71" s="4" t="str">
        <f>_xlfn.TEXTJOIN(";",1,K71:AAB71)</f>
        <v>tss_NewNeg</v>
      </c>
      <c r="AB71" t="s">
        <v>394</v>
      </c>
    </row>
    <row r="72" spans="1:30" x14ac:dyDescent="0.2">
      <c r="A72" t="s">
        <v>264</v>
      </c>
      <c r="B72" t="s">
        <v>265</v>
      </c>
      <c r="C72" t="s">
        <v>685</v>
      </c>
      <c r="D72" t="s">
        <v>288</v>
      </c>
      <c r="E72" t="s">
        <v>682</v>
      </c>
      <c r="F72" t="s">
        <v>199</v>
      </c>
      <c r="G72" t="s">
        <v>198</v>
      </c>
      <c r="H72">
        <v>40</v>
      </c>
      <c r="I72" s="13">
        <v>1</v>
      </c>
      <c r="J72" s="4" t="str">
        <f>_xlfn.TEXTJOIN(";",1,K72:AAB72)</f>
        <v>tss_Pos</v>
      </c>
      <c r="AB72" t="s">
        <v>688</v>
      </c>
    </row>
    <row r="73" spans="1:30" x14ac:dyDescent="0.2">
      <c r="A73" t="s">
        <v>264</v>
      </c>
      <c r="B73" t="s">
        <v>265</v>
      </c>
      <c r="C73" t="s">
        <v>686</v>
      </c>
      <c r="D73" t="s">
        <v>288</v>
      </c>
      <c r="E73" t="s">
        <v>683</v>
      </c>
      <c r="F73" t="s">
        <v>201</v>
      </c>
      <c r="G73" t="s">
        <v>200</v>
      </c>
      <c r="H73">
        <v>50</v>
      </c>
      <c r="I73" s="13">
        <v>1</v>
      </c>
      <c r="J73" s="4" t="str">
        <f>_xlfn.TEXTJOIN(";",1,K73:AAB73)</f>
        <v>tss_Neg</v>
      </c>
      <c r="AB73" t="s">
        <v>689</v>
      </c>
    </row>
    <row r="74" spans="1:30" x14ac:dyDescent="0.2">
      <c r="A74" t="s">
        <v>264</v>
      </c>
      <c r="B74" t="s">
        <v>265</v>
      </c>
      <c r="C74" t="s">
        <v>687</v>
      </c>
      <c r="D74" t="s">
        <v>288</v>
      </c>
      <c r="E74" t="s">
        <v>684</v>
      </c>
      <c r="F74" t="s">
        <v>691</v>
      </c>
      <c r="G74" t="s">
        <v>692</v>
      </c>
      <c r="H74">
        <v>60</v>
      </c>
      <c r="I74" s="13">
        <v>1</v>
      </c>
      <c r="J74" s="4" t="str">
        <f>_xlfn.TEXTJOIN(";",1,K74:AAB74)</f>
        <v>tss_Unknown</v>
      </c>
      <c r="AB74" t="s">
        <v>690</v>
      </c>
    </row>
    <row r="75" spans="1:30" x14ac:dyDescent="0.2">
      <c r="A75" t="s">
        <v>278</v>
      </c>
      <c r="B75" t="s">
        <v>416</v>
      </c>
      <c r="C75" t="s">
        <v>279</v>
      </c>
      <c r="D75" t="s">
        <v>281</v>
      </c>
      <c r="E75" t="s">
        <v>282</v>
      </c>
      <c r="F75" t="s">
        <v>282</v>
      </c>
      <c r="G75" t="s">
        <v>283</v>
      </c>
      <c r="H75">
        <v>1</v>
      </c>
      <c r="I75" s="13">
        <v>1</v>
      </c>
      <c r="J75" s="4" t="str">
        <f>_xlfn.TEXTJOIN(";",1,K75:AAB75)</f>
        <v>vt_sv</v>
      </c>
      <c r="AC75" t="s">
        <v>284</v>
      </c>
    </row>
    <row r="76" spans="1:30" x14ac:dyDescent="0.2">
      <c r="A76" t="s">
        <v>278</v>
      </c>
      <c r="B76" t="s">
        <v>416</v>
      </c>
      <c r="C76" t="s">
        <v>280</v>
      </c>
      <c r="D76" t="s">
        <v>281</v>
      </c>
      <c r="E76" t="s">
        <v>286</v>
      </c>
      <c r="F76" t="s">
        <v>286</v>
      </c>
      <c r="G76" t="s">
        <v>287</v>
      </c>
      <c r="H76">
        <v>2</v>
      </c>
      <c r="I76" s="13">
        <v>1</v>
      </c>
      <c r="J76" s="4" t="str">
        <f>_xlfn.TEXTJOIN(";",1,K76:AAB76)</f>
        <v>vt_pe</v>
      </c>
      <c r="AC76" t="s">
        <v>285</v>
      </c>
    </row>
    <row r="77" spans="1:30" x14ac:dyDescent="0.2">
      <c r="A77" t="s">
        <v>278</v>
      </c>
      <c r="B77" t="s">
        <v>416</v>
      </c>
      <c r="C77" t="s">
        <v>307</v>
      </c>
      <c r="D77" t="s">
        <v>289</v>
      </c>
      <c r="E77" t="s">
        <v>291</v>
      </c>
      <c r="F77" t="s">
        <v>356</v>
      </c>
      <c r="G77" t="s">
        <v>357</v>
      </c>
      <c r="H77">
        <v>10</v>
      </c>
      <c r="I77" s="13">
        <v>1</v>
      </c>
      <c r="J77" s="4" t="str">
        <f>_xlfn.TEXTJOIN(";",1,K77:AAB77)</f>
        <v>st_da</v>
      </c>
      <c r="AD77" t="s">
        <v>290</v>
      </c>
    </row>
    <row r="78" spans="1:30" x14ac:dyDescent="0.2">
      <c r="A78" t="s">
        <v>278</v>
      </c>
      <c r="B78" t="s">
        <v>416</v>
      </c>
      <c r="C78" t="s">
        <v>308</v>
      </c>
      <c r="D78" t="s">
        <v>289</v>
      </c>
      <c r="E78" t="s">
        <v>292</v>
      </c>
      <c r="F78" t="s">
        <v>356</v>
      </c>
      <c r="G78" t="s">
        <v>357</v>
      </c>
      <c r="H78">
        <v>20</v>
      </c>
      <c r="I78" s="13">
        <v>1</v>
      </c>
      <c r="J78" s="4" t="str">
        <f>_xlfn.TEXTJOIN(";",1,K78:AAB78)</f>
        <v>st_da</v>
      </c>
      <c r="AD78" t="s">
        <v>290</v>
      </c>
    </row>
    <row r="79" spans="1:30" x14ac:dyDescent="0.2">
      <c r="A79" t="s">
        <v>278</v>
      </c>
      <c r="B79" t="s">
        <v>416</v>
      </c>
      <c r="C79" t="s">
        <v>309</v>
      </c>
      <c r="D79" t="s">
        <v>289</v>
      </c>
      <c r="E79" t="s">
        <v>293</v>
      </c>
      <c r="F79" t="s">
        <v>356</v>
      </c>
      <c r="G79" t="s">
        <v>357</v>
      </c>
      <c r="H79">
        <v>30</v>
      </c>
      <c r="I79" s="13">
        <v>1</v>
      </c>
      <c r="J79" s="4" t="str">
        <f>_xlfn.TEXTJOIN(";",1,K79:AAB79)</f>
        <v>st_da</v>
      </c>
      <c r="AD79" t="s">
        <v>290</v>
      </c>
    </row>
    <row r="80" spans="1:30" x14ac:dyDescent="0.2">
      <c r="A80" t="s">
        <v>278</v>
      </c>
      <c r="B80" t="s">
        <v>416</v>
      </c>
      <c r="C80" t="s">
        <v>310</v>
      </c>
      <c r="D80" t="s">
        <v>289</v>
      </c>
      <c r="E80" t="s">
        <v>294</v>
      </c>
      <c r="F80" t="s">
        <v>356</v>
      </c>
      <c r="G80" t="s">
        <v>357</v>
      </c>
      <c r="H80">
        <v>40</v>
      </c>
      <c r="I80" s="13">
        <v>1</v>
      </c>
      <c r="J80" s="4" t="str">
        <f>_xlfn.TEXTJOIN(";",1,K80:AAB80)</f>
        <v>st_da</v>
      </c>
      <c r="AD80" t="s">
        <v>290</v>
      </c>
    </row>
    <row r="81" spans="1:30" x14ac:dyDescent="0.2">
      <c r="A81" t="s">
        <v>278</v>
      </c>
      <c r="B81" t="s">
        <v>416</v>
      </c>
      <c r="C81" t="s">
        <v>311</v>
      </c>
      <c r="D81" t="s">
        <v>289</v>
      </c>
      <c r="E81" t="s">
        <v>295</v>
      </c>
      <c r="F81" t="s">
        <v>356</v>
      </c>
      <c r="G81" t="s">
        <v>357</v>
      </c>
      <c r="H81">
        <v>50</v>
      </c>
      <c r="I81" s="13">
        <v>1</v>
      </c>
      <c r="J81" s="4" t="str">
        <f>_xlfn.TEXTJOIN(";",1,K81:AAB81)</f>
        <v>st_da</v>
      </c>
      <c r="AD81" t="s">
        <v>290</v>
      </c>
    </row>
    <row r="82" spans="1:30" x14ac:dyDescent="0.2">
      <c r="A82" t="s">
        <v>278</v>
      </c>
      <c r="B82" t="s">
        <v>416</v>
      </c>
      <c r="C82" t="s">
        <v>312</v>
      </c>
      <c r="D82" t="s">
        <v>289</v>
      </c>
      <c r="E82" t="s">
        <v>296</v>
      </c>
      <c r="F82" t="s">
        <v>356</v>
      </c>
      <c r="G82" t="s">
        <v>357</v>
      </c>
      <c r="H82">
        <v>60</v>
      </c>
      <c r="I82" s="13">
        <v>1</v>
      </c>
      <c r="J82" s="4" t="str">
        <f>_xlfn.TEXTJOIN(";",1,K82:AAB82)</f>
        <v>st_da</v>
      </c>
      <c r="AD82" t="s">
        <v>290</v>
      </c>
    </row>
    <row r="83" spans="1:30" x14ac:dyDescent="0.2">
      <c r="A83" t="s">
        <v>278</v>
      </c>
      <c r="B83" t="s">
        <v>416</v>
      </c>
      <c r="C83" t="s">
        <v>313</v>
      </c>
      <c r="D83" t="s">
        <v>289</v>
      </c>
      <c r="E83" t="s">
        <v>297</v>
      </c>
      <c r="F83" t="s">
        <v>356</v>
      </c>
      <c r="G83" t="s">
        <v>357</v>
      </c>
      <c r="H83">
        <v>70</v>
      </c>
      <c r="I83" s="13">
        <v>1</v>
      </c>
      <c r="J83" s="4" t="str">
        <f>_xlfn.TEXTJOIN(";",1,K83:AAB83)</f>
        <v>st_da</v>
      </c>
      <c r="AD83" t="s">
        <v>290</v>
      </c>
    </row>
    <row r="84" spans="1:30" x14ac:dyDescent="0.2">
      <c r="A84" t="s">
        <v>278</v>
      </c>
      <c r="B84" t="s">
        <v>416</v>
      </c>
      <c r="C84" t="s">
        <v>314</v>
      </c>
      <c r="D84" t="s">
        <v>289</v>
      </c>
      <c r="E84" t="s">
        <v>298</v>
      </c>
      <c r="F84" t="s">
        <v>356</v>
      </c>
      <c r="G84" t="s">
        <v>357</v>
      </c>
      <c r="H84">
        <v>80</v>
      </c>
      <c r="I84" s="13">
        <v>1</v>
      </c>
      <c r="J84" s="4" t="str">
        <f>_xlfn.TEXTJOIN(";",1,K84:AAB84)</f>
        <v>st_da</v>
      </c>
      <c r="AD84" t="s">
        <v>290</v>
      </c>
    </row>
    <row r="85" spans="1:30" x14ac:dyDescent="0.2">
      <c r="A85" t="s">
        <v>278</v>
      </c>
      <c r="B85" t="s">
        <v>416</v>
      </c>
      <c r="C85" t="s">
        <v>315</v>
      </c>
      <c r="D85" t="s">
        <v>289</v>
      </c>
      <c r="E85" t="s">
        <v>299</v>
      </c>
      <c r="F85" t="s">
        <v>356</v>
      </c>
      <c r="G85" t="s">
        <v>357</v>
      </c>
      <c r="H85">
        <v>90</v>
      </c>
      <c r="I85" s="13">
        <v>1</v>
      </c>
      <c r="J85" s="4" t="str">
        <f>_xlfn.TEXTJOIN(";",1,K85:AAB85)</f>
        <v>st_da</v>
      </c>
      <c r="AD85" t="s">
        <v>290</v>
      </c>
    </row>
    <row r="86" spans="1:30" x14ac:dyDescent="0.2">
      <c r="A86" t="s">
        <v>278</v>
      </c>
      <c r="B86" t="s">
        <v>416</v>
      </c>
      <c r="C86" t="s">
        <v>316</v>
      </c>
      <c r="D86" t="s">
        <v>289</v>
      </c>
      <c r="E86" t="s">
        <v>300</v>
      </c>
      <c r="F86" t="s">
        <v>356</v>
      </c>
      <c r="G86" t="s">
        <v>357</v>
      </c>
      <c r="H86">
        <v>100</v>
      </c>
      <c r="I86" s="13">
        <v>1</v>
      </c>
      <c r="J86" s="4" t="str">
        <f>_xlfn.TEXTJOIN(";",1,K86:AAB86)</f>
        <v>st_da</v>
      </c>
      <c r="AD86" t="s">
        <v>290</v>
      </c>
    </row>
    <row r="87" spans="1:30" x14ac:dyDescent="0.2">
      <c r="A87" t="s">
        <v>278</v>
      </c>
      <c r="B87" t="s">
        <v>416</v>
      </c>
      <c r="C87" t="s">
        <v>317</v>
      </c>
      <c r="D87" t="s">
        <v>289</v>
      </c>
      <c r="E87" t="s">
        <v>301</v>
      </c>
      <c r="F87" t="s">
        <v>356</v>
      </c>
      <c r="G87" t="s">
        <v>357</v>
      </c>
      <c r="H87">
        <v>110</v>
      </c>
      <c r="I87" s="13">
        <v>1</v>
      </c>
      <c r="J87" s="4" t="str">
        <f>_xlfn.TEXTJOIN(";",1,K87:AAB87)</f>
        <v>st_da</v>
      </c>
      <c r="AD87" t="s">
        <v>290</v>
      </c>
    </row>
    <row r="88" spans="1:30" x14ac:dyDescent="0.2">
      <c r="A88" t="s">
        <v>278</v>
      </c>
      <c r="B88" t="s">
        <v>416</v>
      </c>
      <c r="C88" t="s">
        <v>318</v>
      </c>
      <c r="D88" t="s">
        <v>289</v>
      </c>
      <c r="E88" t="s">
        <v>302</v>
      </c>
      <c r="F88" t="s">
        <v>356</v>
      </c>
      <c r="G88" t="s">
        <v>357</v>
      </c>
      <c r="H88">
        <v>120</v>
      </c>
      <c r="I88" s="13">
        <v>1</v>
      </c>
      <c r="J88" s="4" t="str">
        <f>_xlfn.TEXTJOIN(";",1,K88:AAB88)</f>
        <v>st_da</v>
      </c>
      <c r="AD88" t="s">
        <v>290</v>
      </c>
    </row>
    <row r="89" spans="1:30" x14ac:dyDescent="0.2">
      <c r="A89" t="s">
        <v>278</v>
      </c>
      <c r="B89" t="s">
        <v>416</v>
      </c>
      <c r="C89" t="s">
        <v>319</v>
      </c>
      <c r="D89" t="s">
        <v>289</v>
      </c>
      <c r="E89" t="s">
        <v>303</v>
      </c>
      <c r="F89" t="s">
        <v>356</v>
      </c>
      <c r="G89" t="s">
        <v>357</v>
      </c>
      <c r="H89">
        <v>130</v>
      </c>
      <c r="I89" s="13">
        <v>1</v>
      </c>
      <c r="J89" s="4" t="str">
        <f>_xlfn.TEXTJOIN(";",1,K89:AAB89)</f>
        <v>st_da</v>
      </c>
      <c r="AD89" t="s">
        <v>290</v>
      </c>
    </row>
    <row r="90" spans="1:30" x14ac:dyDescent="0.2">
      <c r="A90" t="s">
        <v>278</v>
      </c>
      <c r="B90" t="s">
        <v>416</v>
      </c>
      <c r="C90" t="s">
        <v>320</v>
      </c>
      <c r="D90" t="s">
        <v>289</v>
      </c>
      <c r="E90" t="s">
        <v>304</v>
      </c>
      <c r="F90" t="s">
        <v>356</v>
      </c>
      <c r="G90" t="s">
        <v>357</v>
      </c>
      <c r="H90">
        <v>140</v>
      </c>
      <c r="I90" s="13">
        <v>1</v>
      </c>
      <c r="J90" s="4" t="str">
        <f>_xlfn.TEXTJOIN(";",1,K90:AAB90)</f>
        <v>st_da</v>
      </c>
      <c r="AD90" t="s">
        <v>290</v>
      </c>
    </row>
    <row r="91" spans="1:30" x14ac:dyDescent="0.2">
      <c r="A91" t="s">
        <v>278</v>
      </c>
      <c r="B91" t="s">
        <v>416</v>
      </c>
      <c r="C91" t="s">
        <v>321</v>
      </c>
      <c r="D91" t="s">
        <v>289</v>
      </c>
      <c r="E91" t="s">
        <v>305</v>
      </c>
      <c r="F91" t="s">
        <v>356</v>
      </c>
      <c r="G91" t="s">
        <v>357</v>
      </c>
      <c r="H91">
        <v>150</v>
      </c>
      <c r="I91" s="13">
        <v>1</v>
      </c>
      <c r="J91" s="4" t="str">
        <f>_xlfn.TEXTJOIN(";",1,K91:AAB91)</f>
        <v>st_da</v>
      </c>
      <c r="AD91" t="s">
        <v>290</v>
      </c>
    </row>
    <row r="92" spans="1:30" x14ac:dyDescent="0.2">
      <c r="A92" t="s">
        <v>278</v>
      </c>
      <c r="B92" t="s">
        <v>416</v>
      </c>
      <c r="C92" t="s">
        <v>322</v>
      </c>
      <c r="D92" t="s">
        <v>289</v>
      </c>
      <c r="E92" t="s">
        <v>306</v>
      </c>
      <c r="F92" t="s">
        <v>356</v>
      </c>
      <c r="G92" t="s">
        <v>357</v>
      </c>
      <c r="H92">
        <v>160</v>
      </c>
      <c r="I92" s="13">
        <v>1</v>
      </c>
      <c r="J92" s="4" t="str">
        <f>_xlfn.TEXTJOIN(";",1,K92:AAB92)</f>
        <v>st_da</v>
      </c>
      <c r="AD92" t="s">
        <v>290</v>
      </c>
    </row>
    <row r="93" spans="1:30" x14ac:dyDescent="0.2">
      <c r="A93" t="s">
        <v>278</v>
      </c>
      <c r="B93" t="s">
        <v>416</v>
      </c>
      <c r="C93" t="s">
        <v>339</v>
      </c>
      <c r="D93" t="s">
        <v>289</v>
      </c>
      <c r="E93" t="s">
        <v>323</v>
      </c>
      <c r="F93" t="s">
        <v>358</v>
      </c>
      <c r="G93" t="s">
        <v>359</v>
      </c>
      <c r="H93">
        <v>170</v>
      </c>
      <c r="I93" s="13">
        <v>1</v>
      </c>
      <c r="J93" s="4" t="str">
        <f>_xlfn.TEXTJOIN(";",1,K93:AAB93)</f>
        <v>st_ua</v>
      </c>
      <c r="AD93" t="s">
        <v>355</v>
      </c>
    </row>
    <row r="94" spans="1:30" x14ac:dyDescent="0.2">
      <c r="A94" t="s">
        <v>278</v>
      </c>
      <c r="B94" t="s">
        <v>416</v>
      </c>
      <c r="C94" t="s">
        <v>340</v>
      </c>
      <c r="D94" t="s">
        <v>289</v>
      </c>
      <c r="E94" t="s">
        <v>324</v>
      </c>
      <c r="F94" t="s">
        <v>358</v>
      </c>
      <c r="G94" t="s">
        <v>359</v>
      </c>
      <c r="H94">
        <v>180</v>
      </c>
      <c r="I94" s="13">
        <v>1</v>
      </c>
      <c r="J94" s="4" t="str">
        <f>_xlfn.TEXTJOIN(";",1,K94:AAB94)</f>
        <v>st_ua</v>
      </c>
      <c r="AD94" t="s">
        <v>355</v>
      </c>
    </row>
    <row r="95" spans="1:30" x14ac:dyDescent="0.2">
      <c r="A95" t="s">
        <v>278</v>
      </c>
      <c r="B95" t="s">
        <v>416</v>
      </c>
      <c r="C95" t="s">
        <v>341</v>
      </c>
      <c r="D95" t="s">
        <v>289</v>
      </c>
      <c r="E95" t="s">
        <v>325</v>
      </c>
      <c r="F95" t="s">
        <v>358</v>
      </c>
      <c r="G95" t="s">
        <v>359</v>
      </c>
      <c r="H95">
        <v>190</v>
      </c>
      <c r="I95" s="13">
        <v>1</v>
      </c>
      <c r="J95" s="4" t="str">
        <f>_xlfn.TEXTJOIN(";",1,K95:AAB95)</f>
        <v>st_ua</v>
      </c>
      <c r="AD95" t="s">
        <v>355</v>
      </c>
    </row>
    <row r="96" spans="1:30" x14ac:dyDescent="0.2">
      <c r="A96" t="s">
        <v>278</v>
      </c>
      <c r="B96" t="s">
        <v>416</v>
      </c>
      <c r="C96" t="s">
        <v>342</v>
      </c>
      <c r="D96" t="s">
        <v>289</v>
      </c>
      <c r="E96" t="s">
        <v>326</v>
      </c>
      <c r="F96" t="s">
        <v>358</v>
      </c>
      <c r="G96" t="s">
        <v>359</v>
      </c>
      <c r="H96">
        <v>200</v>
      </c>
      <c r="I96" s="13">
        <v>1</v>
      </c>
      <c r="J96" s="4" t="str">
        <f>_xlfn.TEXTJOIN(";",1,K96:AAB96)</f>
        <v>st_ua</v>
      </c>
      <c r="AD96" t="s">
        <v>355</v>
      </c>
    </row>
    <row r="97" spans="1:30" x14ac:dyDescent="0.2">
      <c r="A97" t="s">
        <v>278</v>
      </c>
      <c r="B97" t="s">
        <v>416</v>
      </c>
      <c r="C97" t="s">
        <v>343</v>
      </c>
      <c r="D97" t="s">
        <v>289</v>
      </c>
      <c r="E97" t="s">
        <v>327</v>
      </c>
      <c r="F97" t="s">
        <v>358</v>
      </c>
      <c r="G97" t="s">
        <v>359</v>
      </c>
      <c r="H97">
        <v>210</v>
      </c>
      <c r="I97" s="13">
        <v>1</v>
      </c>
      <c r="J97" s="4" t="str">
        <f>_xlfn.TEXTJOIN(";",1,K97:AAB97)</f>
        <v>st_ua</v>
      </c>
      <c r="AD97" t="s">
        <v>355</v>
      </c>
    </row>
    <row r="98" spans="1:30" x14ac:dyDescent="0.2">
      <c r="A98" t="s">
        <v>278</v>
      </c>
      <c r="B98" t="s">
        <v>416</v>
      </c>
      <c r="C98" t="s">
        <v>344</v>
      </c>
      <c r="D98" t="s">
        <v>289</v>
      </c>
      <c r="E98" t="s">
        <v>328</v>
      </c>
      <c r="F98" t="s">
        <v>358</v>
      </c>
      <c r="G98" t="s">
        <v>359</v>
      </c>
      <c r="H98">
        <v>220</v>
      </c>
      <c r="I98" s="13">
        <v>1</v>
      </c>
      <c r="J98" s="4" t="str">
        <f>_xlfn.TEXTJOIN(";",1,K98:AAB98)</f>
        <v>st_ua</v>
      </c>
      <c r="AD98" t="s">
        <v>355</v>
      </c>
    </row>
    <row r="99" spans="1:30" x14ac:dyDescent="0.2">
      <c r="A99" t="s">
        <v>278</v>
      </c>
      <c r="B99" t="s">
        <v>416</v>
      </c>
      <c r="C99" t="s">
        <v>345</v>
      </c>
      <c r="D99" t="s">
        <v>289</v>
      </c>
      <c r="E99" t="s">
        <v>329</v>
      </c>
      <c r="F99" t="s">
        <v>358</v>
      </c>
      <c r="G99" t="s">
        <v>359</v>
      </c>
      <c r="H99">
        <v>230</v>
      </c>
      <c r="I99" s="13">
        <v>1</v>
      </c>
      <c r="J99" s="4" t="str">
        <f>_xlfn.TEXTJOIN(";",1,K99:AAB99)</f>
        <v>st_ua</v>
      </c>
      <c r="AD99" t="s">
        <v>355</v>
      </c>
    </row>
    <row r="100" spans="1:30" x14ac:dyDescent="0.2">
      <c r="A100" t="s">
        <v>278</v>
      </c>
      <c r="B100" t="s">
        <v>416</v>
      </c>
      <c r="C100" t="s">
        <v>346</v>
      </c>
      <c r="D100" t="s">
        <v>289</v>
      </c>
      <c r="E100" t="s">
        <v>330</v>
      </c>
      <c r="F100" t="s">
        <v>358</v>
      </c>
      <c r="G100" t="s">
        <v>359</v>
      </c>
      <c r="H100">
        <v>240</v>
      </c>
      <c r="I100" s="13">
        <v>1</v>
      </c>
      <c r="J100" s="4" t="str">
        <f>_xlfn.TEXTJOIN(";",1,K100:AAB100)</f>
        <v>st_ua</v>
      </c>
      <c r="AD100" t="s">
        <v>355</v>
      </c>
    </row>
    <row r="101" spans="1:30" x14ac:dyDescent="0.2">
      <c r="A101" t="s">
        <v>278</v>
      </c>
      <c r="B101" t="s">
        <v>416</v>
      </c>
      <c r="C101" t="s">
        <v>347</v>
      </c>
      <c r="D101" t="s">
        <v>289</v>
      </c>
      <c r="E101" t="s">
        <v>331</v>
      </c>
      <c r="F101" t="s">
        <v>358</v>
      </c>
      <c r="G101" t="s">
        <v>359</v>
      </c>
      <c r="H101">
        <v>250</v>
      </c>
      <c r="I101" s="13">
        <v>1</v>
      </c>
      <c r="J101" s="4" t="str">
        <f>_xlfn.TEXTJOIN(";",1,K101:AAB101)</f>
        <v>st_ua</v>
      </c>
      <c r="AD101" t="s">
        <v>355</v>
      </c>
    </row>
    <row r="102" spans="1:30" x14ac:dyDescent="0.2">
      <c r="A102" t="s">
        <v>278</v>
      </c>
      <c r="B102" t="s">
        <v>416</v>
      </c>
      <c r="C102" t="s">
        <v>348</v>
      </c>
      <c r="D102" t="s">
        <v>289</v>
      </c>
      <c r="E102" t="s">
        <v>332</v>
      </c>
      <c r="F102" t="s">
        <v>358</v>
      </c>
      <c r="G102" t="s">
        <v>359</v>
      </c>
      <c r="H102">
        <v>260</v>
      </c>
      <c r="I102" s="13">
        <v>1</v>
      </c>
      <c r="J102" s="4" t="str">
        <f>_xlfn.TEXTJOIN(";",1,K102:AAB102)</f>
        <v>st_ua</v>
      </c>
      <c r="AD102" t="s">
        <v>355</v>
      </c>
    </row>
    <row r="103" spans="1:30" x14ac:dyDescent="0.2">
      <c r="A103" t="s">
        <v>278</v>
      </c>
      <c r="B103" t="s">
        <v>416</v>
      </c>
      <c r="C103" t="s">
        <v>349</v>
      </c>
      <c r="D103" t="s">
        <v>289</v>
      </c>
      <c r="E103" t="s">
        <v>333</v>
      </c>
      <c r="F103" t="s">
        <v>358</v>
      </c>
      <c r="G103" t="s">
        <v>359</v>
      </c>
      <c r="H103">
        <v>270</v>
      </c>
      <c r="I103" s="13">
        <v>1</v>
      </c>
      <c r="J103" s="4" t="str">
        <f>_xlfn.TEXTJOIN(";",1,K103:AAB103)</f>
        <v>st_ua</v>
      </c>
      <c r="AD103" t="s">
        <v>355</v>
      </c>
    </row>
    <row r="104" spans="1:30" x14ac:dyDescent="0.2">
      <c r="A104" t="s">
        <v>278</v>
      </c>
      <c r="B104" t="s">
        <v>416</v>
      </c>
      <c r="C104" t="s">
        <v>350</v>
      </c>
      <c r="D104" t="s">
        <v>289</v>
      </c>
      <c r="E104" t="s">
        <v>334</v>
      </c>
      <c r="F104" t="s">
        <v>358</v>
      </c>
      <c r="G104" t="s">
        <v>359</v>
      </c>
      <c r="H104">
        <v>280</v>
      </c>
      <c r="I104" s="13">
        <v>1</v>
      </c>
      <c r="J104" s="4" t="str">
        <f>_xlfn.TEXTJOIN(";",1,K104:AAB104)</f>
        <v>st_ua</v>
      </c>
      <c r="AD104" t="s">
        <v>355</v>
      </c>
    </row>
    <row r="105" spans="1:30" x14ac:dyDescent="0.2">
      <c r="A105" t="s">
        <v>278</v>
      </c>
      <c r="B105" t="s">
        <v>416</v>
      </c>
      <c r="C105" t="s">
        <v>351</v>
      </c>
      <c r="D105" t="s">
        <v>289</v>
      </c>
      <c r="E105" t="s">
        <v>335</v>
      </c>
      <c r="F105" t="s">
        <v>358</v>
      </c>
      <c r="G105" t="s">
        <v>359</v>
      </c>
      <c r="H105">
        <v>290</v>
      </c>
      <c r="I105" s="13">
        <v>1</v>
      </c>
      <c r="J105" s="4" t="str">
        <f>_xlfn.TEXTJOIN(";",1,K105:AAB105)</f>
        <v>st_ua</v>
      </c>
      <c r="AD105" t="s">
        <v>355</v>
      </c>
    </row>
    <row r="106" spans="1:30" x14ac:dyDescent="0.2">
      <c r="A106" t="s">
        <v>278</v>
      </c>
      <c r="B106" t="s">
        <v>416</v>
      </c>
      <c r="C106" t="s">
        <v>352</v>
      </c>
      <c r="D106" t="s">
        <v>289</v>
      </c>
      <c r="E106" t="s">
        <v>336</v>
      </c>
      <c r="F106" t="s">
        <v>358</v>
      </c>
      <c r="G106" t="s">
        <v>359</v>
      </c>
      <c r="H106">
        <v>300</v>
      </c>
      <c r="I106" s="13">
        <v>1</v>
      </c>
      <c r="J106" s="4" t="str">
        <f>_xlfn.TEXTJOIN(";",1,K106:AAB106)</f>
        <v>st_ua</v>
      </c>
      <c r="AD106" t="s">
        <v>355</v>
      </c>
    </row>
    <row r="107" spans="1:30" x14ac:dyDescent="0.2">
      <c r="A107" t="s">
        <v>278</v>
      </c>
      <c r="B107" t="s">
        <v>416</v>
      </c>
      <c r="C107" t="s">
        <v>353</v>
      </c>
      <c r="D107" t="s">
        <v>289</v>
      </c>
      <c r="E107" t="s">
        <v>337</v>
      </c>
      <c r="F107" t="s">
        <v>358</v>
      </c>
      <c r="G107" t="s">
        <v>359</v>
      </c>
      <c r="H107">
        <v>310</v>
      </c>
      <c r="I107" s="13">
        <v>1</v>
      </c>
      <c r="J107" s="4" t="str">
        <f>_xlfn.TEXTJOIN(";",1,K107:AAB107)</f>
        <v>st_ua</v>
      </c>
      <c r="AD107" t="s">
        <v>355</v>
      </c>
    </row>
    <row r="108" spans="1:30" x14ac:dyDescent="0.2">
      <c r="A108" t="s">
        <v>278</v>
      </c>
      <c r="B108" t="s">
        <v>416</v>
      </c>
      <c r="C108" t="s">
        <v>354</v>
      </c>
      <c r="D108" t="s">
        <v>289</v>
      </c>
      <c r="E108" t="s">
        <v>338</v>
      </c>
      <c r="F108" t="s">
        <v>358</v>
      </c>
      <c r="G108" t="s">
        <v>359</v>
      </c>
      <c r="H108">
        <v>320</v>
      </c>
      <c r="I108" s="13">
        <v>1</v>
      </c>
      <c r="J108" s="4" t="str">
        <f>_xlfn.TEXTJOIN(";",1,K108:AAB108)</f>
        <v>st_ua</v>
      </c>
      <c r="AD108" t="s">
        <v>355</v>
      </c>
    </row>
    <row r="109" spans="1:30" x14ac:dyDescent="0.2">
      <c r="A109" t="s">
        <v>278</v>
      </c>
      <c r="B109" t="s">
        <v>416</v>
      </c>
      <c r="C109" t="s">
        <v>362</v>
      </c>
      <c r="D109" t="s">
        <v>218</v>
      </c>
      <c r="E109" t="s">
        <v>371</v>
      </c>
      <c r="F109" t="s">
        <v>186</v>
      </c>
      <c r="G109" t="s">
        <v>185</v>
      </c>
      <c r="H109">
        <v>400</v>
      </c>
      <c r="I109" s="13">
        <v>1</v>
      </c>
      <c r="J109" s="4" t="str">
        <f>_xlfn.TEXTJOIN(";",1,K109:AAB109)</f>
        <v>kp2</v>
      </c>
      <c r="X109" t="s">
        <v>370</v>
      </c>
    </row>
    <row r="110" spans="1:30" x14ac:dyDescent="0.2">
      <c r="A110" t="s">
        <v>278</v>
      </c>
      <c r="B110" t="s">
        <v>416</v>
      </c>
      <c r="C110" t="s">
        <v>363</v>
      </c>
      <c r="D110" t="s">
        <v>218</v>
      </c>
      <c r="E110" t="s">
        <v>372</v>
      </c>
      <c r="F110" t="s">
        <v>204</v>
      </c>
      <c r="G110" t="s">
        <v>202</v>
      </c>
      <c r="H110">
        <v>410</v>
      </c>
      <c r="I110" s="13">
        <v>1</v>
      </c>
      <c r="J110" s="4" t="str">
        <f>_xlfn.TEXTJOIN(";",1,K110:AAB110)</f>
        <v>kp2</v>
      </c>
      <c r="X110" t="s">
        <v>370</v>
      </c>
    </row>
    <row r="111" spans="1:30" x14ac:dyDescent="0.2">
      <c r="A111" t="s">
        <v>278</v>
      </c>
      <c r="B111" t="s">
        <v>416</v>
      </c>
      <c r="C111" t="s">
        <v>364</v>
      </c>
      <c r="D111" t="s">
        <v>218</v>
      </c>
      <c r="E111" t="s">
        <v>373</v>
      </c>
      <c r="F111" t="s">
        <v>207</v>
      </c>
      <c r="G111" t="s">
        <v>206</v>
      </c>
      <c r="H111">
        <v>420</v>
      </c>
      <c r="I111" s="13">
        <v>1</v>
      </c>
      <c r="J111" s="4" t="str">
        <f>_xlfn.TEXTJOIN(";",1,K111:AAB111)</f>
        <v>kp2</v>
      </c>
      <c r="X111" t="s">
        <v>370</v>
      </c>
    </row>
    <row r="112" spans="1:30" x14ac:dyDescent="0.2">
      <c r="A112" t="s">
        <v>278</v>
      </c>
      <c r="B112" t="s">
        <v>416</v>
      </c>
      <c r="C112" t="s">
        <v>365</v>
      </c>
      <c r="D112" t="s">
        <v>218</v>
      </c>
      <c r="E112" t="s">
        <v>374</v>
      </c>
      <c r="F112" t="s">
        <v>209</v>
      </c>
      <c r="G112" t="s">
        <v>208</v>
      </c>
      <c r="H112">
        <v>430</v>
      </c>
      <c r="I112" s="13">
        <v>1</v>
      </c>
      <c r="J112" s="4" t="str">
        <f>_xlfn.TEXTJOIN(";",1,K112:AAB112)</f>
        <v>kp2</v>
      </c>
      <c r="X112" t="s">
        <v>370</v>
      </c>
    </row>
    <row r="113" spans="1:32" x14ac:dyDescent="0.2">
      <c r="A113" t="s">
        <v>278</v>
      </c>
      <c r="B113" t="s">
        <v>416</v>
      </c>
      <c r="C113" t="s">
        <v>366</v>
      </c>
      <c r="D113" t="s">
        <v>218</v>
      </c>
      <c r="E113" t="s">
        <v>375</v>
      </c>
      <c r="F113" t="s">
        <v>205</v>
      </c>
      <c r="G113" t="s">
        <v>203</v>
      </c>
      <c r="H113">
        <v>440</v>
      </c>
      <c r="I113" s="13">
        <v>1</v>
      </c>
      <c r="J113" s="4" t="str">
        <f>_xlfn.TEXTJOIN(";",1,K113:AAB113)</f>
        <v>kp2</v>
      </c>
      <c r="X113" t="s">
        <v>370</v>
      </c>
    </row>
    <row r="114" spans="1:32" x14ac:dyDescent="0.2">
      <c r="A114" t="s">
        <v>278</v>
      </c>
      <c r="B114" t="s">
        <v>416</v>
      </c>
      <c r="C114" t="s">
        <v>367</v>
      </c>
      <c r="D114" t="s">
        <v>218</v>
      </c>
      <c r="E114" t="s">
        <v>376</v>
      </c>
      <c r="F114" t="s">
        <v>214</v>
      </c>
      <c r="G114" t="s">
        <v>191</v>
      </c>
      <c r="H114">
        <v>450</v>
      </c>
      <c r="I114" s="13">
        <v>1</v>
      </c>
      <c r="J114" s="4" t="str">
        <f>_xlfn.TEXTJOIN(";",1,K114:AAB114)</f>
        <v>kp2</v>
      </c>
      <c r="X114" t="s">
        <v>370</v>
      </c>
    </row>
    <row r="115" spans="1:32" x14ac:dyDescent="0.2">
      <c r="A115" t="s">
        <v>278</v>
      </c>
      <c r="B115" t="s">
        <v>416</v>
      </c>
      <c r="C115" t="s">
        <v>368</v>
      </c>
      <c r="D115" t="s">
        <v>218</v>
      </c>
      <c r="E115" t="s">
        <v>377</v>
      </c>
      <c r="F115" t="s">
        <v>210</v>
      </c>
      <c r="G115" t="s">
        <v>211</v>
      </c>
      <c r="H115">
        <v>460</v>
      </c>
      <c r="I115" s="13">
        <v>1</v>
      </c>
      <c r="J115" s="4" t="str">
        <f>_xlfn.TEXTJOIN(";",1,K115:AAB115)</f>
        <v>kp2</v>
      </c>
      <c r="X115" t="s">
        <v>370</v>
      </c>
    </row>
    <row r="116" spans="1:32" x14ac:dyDescent="0.2">
      <c r="A116" t="s">
        <v>278</v>
      </c>
      <c r="B116" t="s">
        <v>416</v>
      </c>
      <c r="C116" t="s">
        <v>369</v>
      </c>
      <c r="D116" t="s">
        <v>218</v>
      </c>
      <c r="E116" t="s">
        <v>378</v>
      </c>
      <c r="F116" t="s">
        <v>213</v>
      </c>
      <c r="G116" t="s">
        <v>212</v>
      </c>
      <c r="H116">
        <v>470</v>
      </c>
      <c r="I116" s="13">
        <v>1</v>
      </c>
      <c r="J116" s="4" t="str">
        <f>_xlfn.TEXTJOIN(";",1,K116:AAB116)</f>
        <v>kp2</v>
      </c>
      <c r="X116" t="s">
        <v>370</v>
      </c>
    </row>
    <row r="117" spans="1:32" x14ac:dyDescent="0.2">
      <c r="A117" t="s">
        <v>381</v>
      </c>
      <c r="B117" t="s">
        <v>380</v>
      </c>
      <c r="C117" t="s">
        <v>383</v>
      </c>
      <c r="D117" t="s">
        <v>379</v>
      </c>
      <c r="E117" t="s">
        <v>382</v>
      </c>
      <c r="F117" t="s">
        <v>384</v>
      </c>
      <c r="G117" t="s">
        <v>385</v>
      </c>
      <c r="H117">
        <v>510</v>
      </c>
      <c r="I117" s="13">
        <v>1</v>
      </c>
      <c r="J117" s="4" t="str">
        <f>_xlfn.TEXTJOIN(";",1,K117:AAB117)</f>
        <v>as_already</v>
      </c>
      <c r="AE117" t="s">
        <v>390</v>
      </c>
    </row>
    <row r="118" spans="1:32" x14ac:dyDescent="0.2">
      <c r="A118" t="s">
        <v>381</v>
      </c>
      <c r="B118" t="s">
        <v>380</v>
      </c>
      <c r="C118" t="s">
        <v>388</v>
      </c>
      <c r="D118" t="s">
        <v>379</v>
      </c>
      <c r="E118" t="s">
        <v>389</v>
      </c>
      <c r="F118" t="s">
        <v>387</v>
      </c>
      <c r="G118" t="s">
        <v>386</v>
      </c>
      <c r="H118">
        <v>520</v>
      </c>
      <c r="I118" s="13">
        <v>1</v>
      </c>
      <c r="J118" s="4" t="str">
        <f>_xlfn.TEXTJOIN(";",1,K118:AAB118)</f>
        <v>as_new</v>
      </c>
      <c r="AE118" t="s">
        <v>391</v>
      </c>
    </row>
    <row r="119" spans="1:32" x14ac:dyDescent="0.2">
      <c r="A119" t="s">
        <v>278</v>
      </c>
      <c r="B119" t="s">
        <v>416</v>
      </c>
      <c r="C119" t="s">
        <v>395</v>
      </c>
      <c r="D119" t="s">
        <v>218</v>
      </c>
      <c r="E119" t="s">
        <v>193</v>
      </c>
      <c r="F119" t="s">
        <v>193</v>
      </c>
      <c r="G119" t="s">
        <v>192</v>
      </c>
      <c r="H119">
        <v>610</v>
      </c>
      <c r="I119" s="13">
        <v>1</v>
      </c>
      <c r="J119" s="4" t="str">
        <f>_xlfn.TEXTJOIN(";",1,K119:AAB119)</f>
        <v>kp3</v>
      </c>
      <c r="X119" t="s">
        <v>401</v>
      </c>
    </row>
    <row r="120" spans="1:32" x14ac:dyDescent="0.2">
      <c r="A120" t="s">
        <v>278</v>
      </c>
      <c r="B120" t="s">
        <v>416</v>
      </c>
      <c r="C120" t="s">
        <v>396</v>
      </c>
      <c r="D120" t="s">
        <v>218</v>
      </c>
      <c r="E120" t="s">
        <v>398</v>
      </c>
      <c r="F120" t="s">
        <v>398</v>
      </c>
      <c r="G120" t="s">
        <v>397</v>
      </c>
      <c r="H120">
        <v>620</v>
      </c>
      <c r="I120" s="13">
        <v>1</v>
      </c>
      <c r="J120" s="4" t="str">
        <f>_xlfn.TEXTJOIN(";",1,K120:AAB120)</f>
        <v>kp3</v>
      </c>
      <c r="X120" t="s">
        <v>401</v>
      </c>
    </row>
    <row r="121" spans="1:32" x14ac:dyDescent="0.2">
      <c r="A121" t="s">
        <v>278</v>
      </c>
      <c r="B121" t="s">
        <v>416</v>
      </c>
      <c r="C121" t="s">
        <v>399</v>
      </c>
      <c r="D121" t="s">
        <v>218</v>
      </c>
      <c r="E121" t="s">
        <v>188</v>
      </c>
      <c r="F121" t="s">
        <v>188</v>
      </c>
      <c r="G121" t="s">
        <v>187</v>
      </c>
      <c r="H121">
        <v>630</v>
      </c>
      <c r="I121" s="13">
        <v>1</v>
      </c>
      <c r="J121" s="4" t="str">
        <f>_xlfn.TEXTJOIN(";",1,K121:AAB121)</f>
        <v>kp3</v>
      </c>
      <c r="X121" t="s">
        <v>401</v>
      </c>
    </row>
    <row r="122" spans="1:32" x14ac:dyDescent="0.2">
      <c r="A122" t="s">
        <v>278</v>
      </c>
      <c r="B122" t="s">
        <v>416</v>
      </c>
      <c r="C122" t="s">
        <v>400</v>
      </c>
      <c r="D122" t="s">
        <v>218</v>
      </c>
      <c r="E122" t="s">
        <v>186</v>
      </c>
      <c r="F122" t="s">
        <v>186</v>
      </c>
      <c r="G122" t="s">
        <v>185</v>
      </c>
      <c r="H122">
        <v>640</v>
      </c>
      <c r="I122" s="13">
        <v>1</v>
      </c>
      <c r="J122" s="4" t="str">
        <f>_xlfn.TEXTJOIN(";",1,K122:AAB122)</f>
        <v>kp3</v>
      </c>
      <c r="X122" t="s">
        <v>401</v>
      </c>
    </row>
    <row r="123" spans="1:32" x14ac:dyDescent="0.2">
      <c r="A123" t="s">
        <v>278</v>
      </c>
      <c r="B123" t="s">
        <v>416</v>
      </c>
      <c r="C123" t="s">
        <v>404</v>
      </c>
      <c r="D123" t="s">
        <v>402</v>
      </c>
      <c r="E123" t="s">
        <v>403</v>
      </c>
      <c r="F123" t="s">
        <v>412</v>
      </c>
      <c r="G123" t="s">
        <v>413</v>
      </c>
      <c r="H123">
        <v>770</v>
      </c>
      <c r="I123" s="13">
        <v>1</v>
      </c>
      <c r="J123" s="4" t="str">
        <f>_xlfn.TEXTJOIN(";",1,K123:AAB123)</f>
        <v>ti_routine</v>
      </c>
      <c r="AF123" t="s">
        <v>411</v>
      </c>
    </row>
    <row r="124" spans="1:32" x14ac:dyDescent="0.2">
      <c r="A124" t="s">
        <v>278</v>
      </c>
      <c r="B124" t="s">
        <v>416</v>
      </c>
      <c r="C124" t="s">
        <v>406</v>
      </c>
      <c r="D124" t="s">
        <v>402</v>
      </c>
      <c r="E124" t="s">
        <v>405</v>
      </c>
      <c r="F124" t="s">
        <v>412</v>
      </c>
      <c r="G124" t="s">
        <v>413</v>
      </c>
      <c r="H124">
        <v>780</v>
      </c>
      <c r="I124" s="13">
        <v>1</v>
      </c>
      <c r="J124" s="4" t="str">
        <f>_xlfn.TEXTJOIN(";",1,K124:AAB124)</f>
        <v>ti_routine</v>
      </c>
      <c r="AF124" t="s">
        <v>411</v>
      </c>
    </row>
    <row r="125" spans="1:32" x14ac:dyDescent="0.2">
      <c r="A125" t="s">
        <v>278</v>
      </c>
      <c r="B125" t="s">
        <v>416</v>
      </c>
      <c r="C125" t="s">
        <v>408</v>
      </c>
      <c r="D125" t="s">
        <v>402</v>
      </c>
      <c r="E125" t="s">
        <v>407</v>
      </c>
      <c r="F125" t="s">
        <v>412</v>
      </c>
      <c r="G125" t="s">
        <v>413</v>
      </c>
      <c r="H125">
        <v>790</v>
      </c>
      <c r="I125" s="13">
        <v>1</v>
      </c>
      <c r="J125" s="4" t="str">
        <f>_xlfn.TEXTJOIN(";",1,K125:AAB125)</f>
        <v>ti_routine</v>
      </c>
      <c r="AF125" t="s">
        <v>411</v>
      </c>
    </row>
    <row r="126" spans="1:32" x14ac:dyDescent="0.2">
      <c r="A126" t="s">
        <v>278</v>
      </c>
      <c r="B126" t="s">
        <v>416</v>
      </c>
      <c r="C126" t="s">
        <v>410</v>
      </c>
      <c r="D126" t="s">
        <v>402</v>
      </c>
      <c r="E126" t="s">
        <v>409</v>
      </c>
      <c r="F126" t="s">
        <v>412</v>
      </c>
      <c r="G126" t="s">
        <v>413</v>
      </c>
      <c r="H126">
        <v>800</v>
      </c>
      <c r="I126" s="13">
        <v>1</v>
      </c>
      <c r="J126" s="4" t="str">
        <f>_xlfn.TEXTJOIN(";",1,K126:AAB126)</f>
        <v>ti_routine</v>
      </c>
      <c r="AF126" t="s">
        <v>411</v>
      </c>
    </row>
    <row r="127" spans="1:32" x14ac:dyDescent="0.2">
      <c r="A127" t="s">
        <v>278</v>
      </c>
      <c r="B127" t="s">
        <v>416</v>
      </c>
      <c r="C127" t="s">
        <v>702</v>
      </c>
      <c r="D127" t="s">
        <v>402</v>
      </c>
      <c r="E127" t="s">
        <v>763</v>
      </c>
      <c r="F127" t="s">
        <v>412</v>
      </c>
      <c r="G127" t="s">
        <v>413</v>
      </c>
      <c r="H127">
        <v>710</v>
      </c>
      <c r="I127" s="13">
        <v>1</v>
      </c>
      <c r="J127" s="4" t="str">
        <f>_xlfn.TEXTJOIN(";",1,K127:AAB127)</f>
        <v>ti_routine</v>
      </c>
      <c r="AF127" t="s">
        <v>411</v>
      </c>
    </row>
    <row r="128" spans="1:32" x14ac:dyDescent="0.2">
      <c r="A128" t="s">
        <v>278</v>
      </c>
      <c r="B128" t="s">
        <v>416</v>
      </c>
      <c r="C128" t="s">
        <v>704</v>
      </c>
      <c r="D128" t="s">
        <v>402</v>
      </c>
      <c r="E128" t="s">
        <v>764</v>
      </c>
      <c r="F128" t="s">
        <v>412</v>
      </c>
      <c r="G128" t="s">
        <v>413</v>
      </c>
      <c r="H128">
        <v>720</v>
      </c>
      <c r="I128" s="13">
        <v>1</v>
      </c>
      <c r="J128" s="4" t="str">
        <f>_xlfn.TEXTJOIN(";",1,K128:AAB128)</f>
        <v>ti_routine</v>
      </c>
      <c r="AF128" t="s">
        <v>411</v>
      </c>
    </row>
    <row r="129" spans="1:32" x14ac:dyDescent="0.2">
      <c r="A129" t="s">
        <v>278</v>
      </c>
      <c r="B129" t="s">
        <v>416</v>
      </c>
      <c r="C129" t="s">
        <v>698</v>
      </c>
      <c r="D129" t="s">
        <v>402</v>
      </c>
      <c r="E129" t="s">
        <v>742</v>
      </c>
      <c r="F129" t="s">
        <v>412</v>
      </c>
      <c r="G129" t="s">
        <v>413</v>
      </c>
      <c r="H129">
        <v>730</v>
      </c>
      <c r="I129" s="13">
        <v>1</v>
      </c>
      <c r="J129" s="4" t="str">
        <f>_xlfn.TEXTJOIN(";",1,K129:AAB129)</f>
        <v>ti_routine</v>
      </c>
      <c r="AF129" t="s">
        <v>411</v>
      </c>
    </row>
    <row r="130" spans="1:32" x14ac:dyDescent="0.2">
      <c r="A130" t="s">
        <v>278</v>
      </c>
      <c r="B130" t="s">
        <v>416</v>
      </c>
      <c r="C130" t="s">
        <v>700</v>
      </c>
      <c r="D130" t="s">
        <v>402</v>
      </c>
      <c r="E130" t="s">
        <v>743</v>
      </c>
      <c r="F130" t="s">
        <v>412</v>
      </c>
      <c r="G130" t="s">
        <v>413</v>
      </c>
      <c r="H130">
        <v>740</v>
      </c>
      <c r="I130" s="13">
        <v>1</v>
      </c>
      <c r="J130" s="4" t="str">
        <f>_xlfn.TEXTJOIN(";",1,K130:AAB130)</f>
        <v>ti_routine</v>
      </c>
      <c r="AF130" t="s">
        <v>411</v>
      </c>
    </row>
    <row r="131" spans="1:32" x14ac:dyDescent="0.2">
      <c r="A131" t="s">
        <v>278</v>
      </c>
      <c r="B131" t="s">
        <v>416</v>
      </c>
      <c r="C131" t="s">
        <v>706</v>
      </c>
      <c r="D131" t="s">
        <v>402</v>
      </c>
      <c r="E131" t="s">
        <v>744</v>
      </c>
      <c r="F131" t="s">
        <v>412</v>
      </c>
      <c r="G131" t="s">
        <v>413</v>
      </c>
      <c r="H131">
        <v>750</v>
      </c>
      <c r="I131" s="13">
        <v>1</v>
      </c>
      <c r="J131" s="4" t="str">
        <f>_xlfn.TEXTJOIN(";",1,K131:AAB131)</f>
        <v>ti_routine</v>
      </c>
      <c r="AF131" t="s">
        <v>411</v>
      </c>
    </row>
    <row r="132" spans="1:32" x14ac:dyDescent="0.2">
      <c r="A132" t="s">
        <v>278</v>
      </c>
      <c r="B132" t="s">
        <v>416</v>
      </c>
      <c r="C132" t="s">
        <v>708</v>
      </c>
      <c r="D132" t="s">
        <v>402</v>
      </c>
      <c r="E132" t="s">
        <v>745</v>
      </c>
      <c r="F132" t="s">
        <v>412</v>
      </c>
      <c r="G132" t="s">
        <v>413</v>
      </c>
      <c r="H132">
        <v>760</v>
      </c>
      <c r="I132" s="13">
        <v>1</v>
      </c>
      <c r="J132" s="4" t="str">
        <f>_xlfn.TEXTJOIN(";",1,K132:AAB132)</f>
        <v>ti_routine</v>
      </c>
      <c r="AF132" t="s">
        <v>411</v>
      </c>
    </row>
    <row r="133" spans="1:32" x14ac:dyDescent="0.2">
      <c r="A133" t="s">
        <v>278</v>
      </c>
      <c r="B133" t="s">
        <v>416</v>
      </c>
      <c r="C133" t="s">
        <v>694</v>
      </c>
      <c r="D133" t="s">
        <v>402</v>
      </c>
      <c r="E133" t="s">
        <v>741</v>
      </c>
      <c r="F133" t="s">
        <v>412</v>
      </c>
      <c r="G133" t="s">
        <v>413</v>
      </c>
      <c r="H133">
        <v>810</v>
      </c>
      <c r="I133" s="13">
        <v>1</v>
      </c>
      <c r="J133" s="4" t="str">
        <f>_xlfn.TEXTJOIN(";",1,K133:AAB133)</f>
        <v>ti_routine</v>
      </c>
      <c r="AF133" t="s">
        <v>411</v>
      </c>
    </row>
    <row r="134" spans="1:32" x14ac:dyDescent="0.2">
      <c r="A134" t="s">
        <v>278</v>
      </c>
      <c r="B134" t="s">
        <v>416</v>
      </c>
      <c r="C134" t="s">
        <v>696</v>
      </c>
      <c r="D134" t="s">
        <v>402</v>
      </c>
      <c r="E134" t="s">
        <v>746</v>
      </c>
      <c r="F134" t="s">
        <v>412</v>
      </c>
      <c r="G134" t="s">
        <v>413</v>
      </c>
      <c r="H134">
        <v>820</v>
      </c>
      <c r="I134" s="13">
        <v>1</v>
      </c>
      <c r="J134" s="4" t="str">
        <f>_xlfn.TEXTJOIN(";",1,K134:AAB134)</f>
        <v>ti_routine</v>
      </c>
      <c r="AF134" t="s">
        <v>411</v>
      </c>
    </row>
    <row r="135" spans="1:32" x14ac:dyDescent="0.2">
      <c r="A135" t="s">
        <v>278</v>
      </c>
      <c r="B135" t="s">
        <v>416</v>
      </c>
      <c r="C135" t="s">
        <v>710</v>
      </c>
      <c r="D135" t="s">
        <v>402</v>
      </c>
      <c r="E135" t="s">
        <v>747</v>
      </c>
      <c r="F135" t="s">
        <v>412</v>
      </c>
      <c r="G135" t="s">
        <v>413</v>
      </c>
      <c r="H135">
        <v>830</v>
      </c>
      <c r="I135" s="13">
        <v>1</v>
      </c>
      <c r="J135" s="4" t="str">
        <f>_xlfn.TEXTJOIN(";",1,K135:AAB135)</f>
        <v>ti_routine</v>
      </c>
      <c r="AF135" t="s">
        <v>411</v>
      </c>
    </row>
    <row r="136" spans="1:32" x14ac:dyDescent="0.2">
      <c r="A136" t="s">
        <v>278</v>
      </c>
      <c r="B136" t="s">
        <v>416</v>
      </c>
      <c r="C136" t="s">
        <v>712</v>
      </c>
      <c r="D136" t="s">
        <v>402</v>
      </c>
      <c r="E136" t="s">
        <v>748</v>
      </c>
      <c r="F136" t="s">
        <v>412</v>
      </c>
      <c r="G136" t="s">
        <v>413</v>
      </c>
      <c r="H136">
        <v>840</v>
      </c>
      <c r="I136" s="13">
        <v>1</v>
      </c>
      <c r="J136" s="4" t="str">
        <f>_xlfn.TEXTJOIN(";",1,K136:AAB136)</f>
        <v>ti_routine</v>
      </c>
      <c r="AF136" t="s">
        <v>411</v>
      </c>
    </row>
    <row r="137" spans="1:32" x14ac:dyDescent="0.2">
      <c r="A137" t="s">
        <v>278</v>
      </c>
      <c r="B137" t="s">
        <v>416</v>
      </c>
      <c r="C137" t="s">
        <v>714</v>
      </c>
      <c r="D137" t="s">
        <v>402</v>
      </c>
      <c r="E137" t="s">
        <v>749</v>
      </c>
      <c r="F137" t="s">
        <v>412</v>
      </c>
      <c r="G137" t="s">
        <v>413</v>
      </c>
      <c r="H137">
        <v>850</v>
      </c>
      <c r="I137" s="13">
        <v>1</v>
      </c>
      <c r="J137" s="4" t="str">
        <f>_xlfn.TEXTJOIN(";",1,K137:AAB137)</f>
        <v>ti_routine</v>
      </c>
      <c r="AF137" t="s">
        <v>411</v>
      </c>
    </row>
    <row r="138" spans="1:32" x14ac:dyDescent="0.2">
      <c r="A138" t="s">
        <v>278</v>
      </c>
      <c r="B138" t="s">
        <v>416</v>
      </c>
      <c r="C138" t="s">
        <v>716</v>
      </c>
      <c r="D138" t="s">
        <v>402</v>
      </c>
      <c r="E138" t="s">
        <v>750</v>
      </c>
      <c r="F138" t="s">
        <v>412</v>
      </c>
      <c r="G138" t="s">
        <v>413</v>
      </c>
      <c r="H138">
        <v>860</v>
      </c>
      <c r="I138" s="13">
        <v>1</v>
      </c>
      <c r="J138" s="4" t="str">
        <f>_xlfn.TEXTJOIN(";",1,K138:AAB138)</f>
        <v>ti_routine</v>
      </c>
      <c r="AF138" t="s">
        <v>411</v>
      </c>
    </row>
    <row r="139" spans="1:32" x14ac:dyDescent="0.2">
      <c r="A139" t="s">
        <v>278</v>
      </c>
      <c r="B139" t="s">
        <v>416</v>
      </c>
      <c r="C139" t="s">
        <v>718</v>
      </c>
      <c r="D139" t="s">
        <v>402</v>
      </c>
      <c r="E139" t="s">
        <v>751</v>
      </c>
      <c r="F139" t="s">
        <v>412</v>
      </c>
      <c r="G139" t="s">
        <v>413</v>
      </c>
      <c r="H139">
        <v>870</v>
      </c>
      <c r="I139" s="13">
        <v>1</v>
      </c>
      <c r="J139" s="4" t="str">
        <f>_xlfn.TEXTJOIN(";",1,K139:AAB139)</f>
        <v>ti_routine</v>
      </c>
      <c r="AF139" t="s">
        <v>411</v>
      </c>
    </row>
    <row r="140" spans="1:32" x14ac:dyDescent="0.2">
      <c r="A140" t="s">
        <v>278</v>
      </c>
      <c r="B140" t="s">
        <v>416</v>
      </c>
      <c r="C140" t="s">
        <v>720</v>
      </c>
      <c r="D140" t="s">
        <v>402</v>
      </c>
      <c r="E140" t="s">
        <v>752</v>
      </c>
      <c r="F140" t="s">
        <v>412</v>
      </c>
      <c r="G140" t="s">
        <v>413</v>
      </c>
      <c r="H140">
        <v>880</v>
      </c>
      <c r="I140" s="13">
        <v>1</v>
      </c>
      <c r="J140" s="4" t="str">
        <f>_xlfn.TEXTJOIN(";",1,K140:AAB140)</f>
        <v>ti_routine</v>
      </c>
      <c r="AF140" t="s">
        <v>411</v>
      </c>
    </row>
    <row r="141" spans="1:32" x14ac:dyDescent="0.2">
      <c r="A141" t="s">
        <v>278</v>
      </c>
      <c r="B141" t="s">
        <v>416</v>
      </c>
      <c r="C141" t="s">
        <v>722</v>
      </c>
      <c r="D141" t="s">
        <v>402</v>
      </c>
      <c r="E141" t="s">
        <v>753</v>
      </c>
      <c r="F141" t="s">
        <v>412</v>
      </c>
      <c r="G141" t="s">
        <v>413</v>
      </c>
      <c r="H141">
        <v>890</v>
      </c>
      <c r="I141" s="13">
        <v>1</v>
      </c>
      <c r="J141" s="4" t="str">
        <f>_xlfn.TEXTJOIN(";",1,K141:AAB141)</f>
        <v>ti_routine</v>
      </c>
      <c r="AF141" t="s">
        <v>411</v>
      </c>
    </row>
    <row r="142" spans="1:32" x14ac:dyDescent="0.2">
      <c r="A142" t="s">
        <v>278</v>
      </c>
      <c r="B142" t="s">
        <v>416</v>
      </c>
      <c r="C142" t="s">
        <v>724</v>
      </c>
      <c r="D142" t="s">
        <v>402</v>
      </c>
      <c r="E142" t="s">
        <v>754</v>
      </c>
      <c r="F142" t="s">
        <v>412</v>
      </c>
      <c r="G142" t="s">
        <v>413</v>
      </c>
      <c r="H142">
        <v>900</v>
      </c>
      <c r="I142" s="13">
        <v>1</v>
      </c>
      <c r="J142" s="4" t="str">
        <f>_xlfn.TEXTJOIN(";",1,K142:AAB142)</f>
        <v>ti_routine</v>
      </c>
      <c r="AF142" t="s">
        <v>411</v>
      </c>
    </row>
    <row r="143" spans="1:32" x14ac:dyDescent="0.2">
      <c r="A143" t="s">
        <v>278</v>
      </c>
      <c r="B143" t="s">
        <v>416</v>
      </c>
      <c r="C143" t="s">
        <v>726</v>
      </c>
      <c r="D143" t="s">
        <v>402</v>
      </c>
      <c r="E143" t="s">
        <v>755</v>
      </c>
      <c r="F143" t="s">
        <v>412</v>
      </c>
      <c r="G143" t="s">
        <v>413</v>
      </c>
      <c r="H143">
        <v>910</v>
      </c>
      <c r="I143" s="13">
        <v>1</v>
      </c>
      <c r="J143" s="4" t="str">
        <f>_xlfn.TEXTJOIN(";",1,K143:AAB143)</f>
        <v>ti_routine</v>
      </c>
      <c r="AF143" t="s">
        <v>411</v>
      </c>
    </row>
    <row r="144" spans="1:32" x14ac:dyDescent="0.2">
      <c r="A144" t="s">
        <v>278</v>
      </c>
      <c r="B144" t="s">
        <v>416</v>
      </c>
      <c r="C144" t="s">
        <v>728</v>
      </c>
      <c r="D144" t="s">
        <v>402</v>
      </c>
      <c r="E144" t="s">
        <v>756</v>
      </c>
      <c r="F144" t="s">
        <v>412</v>
      </c>
      <c r="G144" t="s">
        <v>413</v>
      </c>
      <c r="H144">
        <v>920</v>
      </c>
      <c r="I144" s="13">
        <v>1</v>
      </c>
      <c r="J144" s="4" t="str">
        <f>_xlfn.TEXTJOIN(";",1,K144:AAB144)</f>
        <v>ti_routine</v>
      </c>
      <c r="AF144" t="s">
        <v>411</v>
      </c>
    </row>
    <row r="145" spans="1:35" x14ac:dyDescent="0.2">
      <c r="A145" t="s">
        <v>278</v>
      </c>
      <c r="B145" t="s">
        <v>416</v>
      </c>
      <c r="C145" t="s">
        <v>730</v>
      </c>
      <c r="D145" t="s">
        <v>402</v>
      </c>
      <c r="E145" t="s">
        <v>757</v>
      </c>
      <c r="F145" t="s">
        <v>412</v>
      </c>
      <c r="G145" t="s">
        <v>413</v>
      </c>
      <c r="H145">
        <v>930</v>
      </c>
      <c r="I145" s="13">
        <v>1</v>
      </c>
      <c r="J145" s="4" t="str">
        <f>_xlfn.TEXTJOIN(";",1,K145:AAB145)</f>
        <v>ti_routine</v>
      </c>
      <c r="AF145" t="s">
        <v>411</v>
      </c>
    </row>
    <row r="146" spans="1:35" x14ac:dyDescent="0.2">
      <c r="A146" t="s">
        <v>278</v>
      </c>
      <c r="B146" t="s">
        <v>416</v>
      </c>
      <c r="C146" t="s">
        <v>732</v>
      </c>
      <c r="D146" t="s">
        <v>402</v>
      </c>
      <c r="E146" t="s">
        <v>758</v>
      </c>
      <c r="F146" t="s">
        <v>412</v>
      </c>
      <c r="G146" t="s">
        <v>413</v>
      </c>
      <c r="H146">
        <v>940</v>
      </c>
      <c r="I146" s="13">
        <v>1</v>
      </c>
      <c r="J146" s="4" t="str">
        <f>_xlfn.TEXTJOIN(";",1,K146:AAB146)</f>
        <v>ti_routine</v>
      </c>
      <c r="AF146" t="s">
        <v>411</v>
      </c>
    </row>
    <row r="147" spans="1:35" x14ac:dyDescent="0.2">
      <c r="A147" t="s">
        <v>278</v>
      </c>
      <c r="B147" t="s">
        <v>416</v>
      </c>
      <c r="C147" t="s">
        <v>738</v>
      </c>
      <c r="D147" t="s">
        <v>402</v>
      </c>
      <c r="E147" t="s">
        <v>759</v>
      </c>
      <c r="F147" t="s">
        <v>412</v>
      </c>
      <c r="G147" t="s">
        <v>413</v>
      </c>
      <c r="H147">
        <v>950</v>
      </c>
      <c r="I147" s="13">
        <v>1</v>
      </c>
      <c r="J147" s="4" t="str">
        <f>_xlfn.TEXTJOIN(";",1,K147:AAB147)</f>
        <v>ti_routine</v>
      </c>
      <c r="AF147" t="s">
        <v>411</v>
      </c>
    </row>
    <row r="148" spans="1:35" x14ac:dyDescent="0.2">
      <c r="A148" t="s">
        <v>278</v>
      </c>
      <c r="B148" t="s">
        <v>416</v>
      </c>
      <c r="C148" t="s">
        <v>740</v>
      </c>
      <c r="D148" t="s">
        <v>402</v>
      </c>
      <c r="E148" t="s">
        <v>760</v>
      </c>
      <c r="F148" t="s">
        <v>412</v>
      </c>
      <c r="G148" t="s">
        <v>413</v>
      </c>
      <c r="H148">
        <v>960</v>
      </c>
      <c r="I148" s="13">
        <v>1</v>
      </c>
      <c r="J148" s="4" t="str">
        <f>_xlfn.TEXTJOIN(";",1,K148:AAB148)</f>
        <v>ti_routine</v>
      </c>
      <c r="AF148" t="s">
        <v>411</v>
      </c>
    </row>
    <row r="149" spans="1:35" x14ac:dyDescent="0.2">
      <c r="A149" t="s">
        <v>278</v>
      </c>
      <c r="B149" t="s">
        <v>416</v>
      </c>
      <c r="C149" t="s">
        <v>734</v>
      </c>
      <c r="D149" t="s">
        <v>402</v>
      </c>
      <c r="E149" t="s">
        <v>761</v>
      </c>
      <c r="F149" t="s">
        <v>412</v>
      </c>
      <c r="G149" t="s">
        <v>413</v>
      </c>
      <c r="H149">
        <v>970</v>
      </c>
      <c r="I149" s="13">
        <v>1</v>
      </c>
      <c r="J149" s="4" t="str">
        <f>_xlfn.TEXTJOIN(";",1,K149:AAB149)</f>
        <v>ti_routine</v>
      </c>
      <c r="AF149" t="s">
        <v>411</v>
      </c>
    </row>
    <row r="150" spans="1:35" x14ac:dyDescent="0.2">
      <c r="A150" t="s">
        <v>278</v>
      </c>
      <c r="B150" t="s">
        <v>416</v>
      </c>
      <c r="C150" t="s">
        <v>736</v>
      </c>
      <c r="D150" t="s">
        <v>402</v>
      </c>
      <c r="E150" t="s">
        <v>762</v>
      </c>
      <c r="F150" t="s">
        <v>412</v>
      </c>
      <c r="G150" t="s">
        <v>413</v>
      </c>
      <c r="H150">
        <v>980</v>
      </c>
      <c r="I150" s="13">
        <v>1</v>
      </c>
      <c r="J150" s="4" t="str">
        <f>_xlfn.TEXTJOIN(";",1,K150:AAB150)</f>
        <v>ti_routine</v>
      </c>
      <c r="AF150" t="s">
        <v>411</v>
      </c>
    </row>
    <row r="151" spans="1:35" x14ac:dyDescent="0.2">
      <c r="A151" t="s">
        <v>196</v>
      </c>
      <c r="B151" t="s">
        <v>197</v>
      </c>
      <c r="C151" t="s">
        <v>198</v>
      </c>
      <c r="D151" t="s">
        <v>255</v>
      </c>
      <c r="E151" t="s">
        <v>199</v>
      </c>
      <c r="F151" t="s">
        <v>276</v>
      </c>
      <c r="G151" t="s">
        <v>277</v>
      </c>
      <c r="H151">
        <v>10</v>
      </c>
      <c r="I151" s="13">
        <v>1</v>
      </c>
      <c r="J151" t="str">
        <f>_xlfn.TEXTJOIN(";",1,K151:AAB151)</f>
        <v>tr_pos2</v>
      </c>
      <c r="Y151" t="s">
        <v>414</v>
      </c>
    </row>
    <row r="152" spans="1:35" x14ac:dyDescent="0.2">
      <c r="A152" t="s">
        <v>196</v>
      </c>
      <c r="B152" t="s">
        <v>197</v>
      </c>
      <c r="C152" t="s">
        <v>200</v>
      </c>
      <c r="D152" t="s">
        <v>255</v>
      </c>
      <c r="E152" t="s">
        <v>201</v>
      </c>
      <c r="F152" t="s">
        <v>274</v>
      </c>
      <c r="G152" t="s">
        <v>275</v>
      </c>
      <c r="H152">
        <v>20</v>
      </c>
      <c r="I152" s="13">
        <v>1</v>
      </c>
      <c r="J152" t="str">
        <f>_xlfn.TEXTJOIN(";",1,K152:AAB152)</f>
        <v>tr_neg2</v>
      </c>
      <c r="Y152" t="s">
        <v>415</v>
      </c>
    </row>
    <row r="153" spans="1:35" x14ac:dyDescent="0.2">
      <c r="A153" t="s">
        <v>509</v>
      </c>
      <c r="B153" t="s">
        <v>510</v>
      </c>
      <c r="C153" t="s">
        <v>481</v>
      </c>
      <c r="D153" t="s">
        <v>436</v>
      </c>
      <c r="E153" t="s">
        <v>482</v>
      </c>
      <c r="F153" t="s">
        <v>143</v>
      </c>
      <c r="G153" t="s">
        <v>143</v>
      </c>
      <c r="H153">
        <v>100</v>
      </c>
      <c r="I153" s="13">
        <v>1</v>
      </c>
      <c r="J153" t="str">
        <f>_xlfn.TEXTJOIN(";",1,K153:AAB153)</f>
        <v>hts_mod_com_ndx</v>
      </c>
      <c r="AI153" t="s">
        <v>439</v>
      </c>
    </row>
    <row r="154" spans="1:35" x14ac:dyDescent="0.2">
      <c r="A154" t="s">
        <v>509</v>
      </c>
      <c r="B154" t="s">
        <v>510</v>
      </c>
      <c r="C154" t="s">
        <v>483</v>
      </c>
      <c r="D154" t="s">
        <v>436</v>
      </c>
      <c r="E154" t="s">
        <v>484</v>
      </c>
      <c r="F154" t="s">
        <v>143</v>
      </c>
      <c r="G154" t="s">
        <v>143</v>
      </c>
      <c r="H154">
        <v>200</v>
      </c>
      <c r="I154" s="13">
        <v>1</v>
      </c>
      <c r="J154" t="str">
        <f>_xlfn.TEXTJOIN(";",1,K154:AAB154)</f>
        <v>hts_mod_fac_ndx</v>
      </c>
      <c r="AI154" t="s">
        <v>440</v>
      </c>
    </row>
    <row r="155" spans="1:35" x14ac:dyDescent="0.2">
      <c r="A155" t="s">
        <v>509</v>
      </c>
      <c r="B155" t="s">
        <v>510</v>
      </c>
      <c r="C155" t="s">
        <v>485</v>
      </c>
      <c r="D155" t="s">
        <v>436</v>
      </c>
      <c r="E155" t="s">
        <v>486</v>
      </c>
      <c r="F155" t="s">
        <v>143</v>
      </c>
      <c r="G155" t="s">
        <v>143</v>
      </c>
      <c r="H155">
        <v>300</v>
      </c>
      <c r="I155" s="13">
        <v>1</v>
      </c>
      <c r="J155" t="str">
        <f>_xlfn.TEXTJOIN(";",1,K155:AAB155)</f>
        <v>hts_mod_com_mob</v>
      </c>
      <c r="AI155" t="s">
        <v>438</v>
      </c>
    </row>
    <row r="156" spans="1:35" x14ac:dyDescent="0.2">
      <c r="A156" t="s">
        <v>509</v>
      </c>
      <c r="B156" t="s">
        <v>510</v>
      </c>
      <c r="C156" t="s">
        <v>487</v>
      </c>
      <c r="D156" t="s">
        <v>436</v>
      </c>
      <c r="E156" t="s">
        <v>488</v>
      </c>
      <c r="F156" t="s">
        <v>143</v>
      </c>
      <c r="G156" t="s">
        <v>143</v>
      </c>
      <c r="H156">
        <v>400</v>
      </c>
      <c r="I156" s="13">
        <v>1</v>
      </c>
      <c r="J156" t="str">
        <f>_xlfn.TEXTJOIN(";",1,K156:AAB156)</f>
        <v>hts_mod_com_vct</v>
      </c>
      <c r="AI156" t="s">
        <v>441</v>
      </c>
    </row>
    <row r="157" spans="1:35" x14ac:dyDescent="0.2">
      <c r="A157" t="s">
        <v>509</v>
      </c>
      <c r="B157" t="s">
        <v>510</v>
      </c>
      <c r="C157" t="s">
        <v>489</v>
      </c>
      <c r="D157" t="s">
        <v>436</v>
      </c>
      <c r="E157" t="s">
        <v>490</v>
      </c>
      <c r="F157" t="s">
        <v>143</v>
      </c>
      <c r="G157" t="s">
        <v>143</v>
      </c>
      <c r="H157">
        <v>500</v>
      </c>
      <c r="I157" s="13">
        <v>1</v>
      </c>
      <c r="J157" t="str">
        <f>_xlfn.TEXTJOIN(";",1,K157:AAB157)</f>
        <v>hts_mod_com_otr</v>
      </c>
      <c r="AI157" t="s">
        <v>442</v>
      </c>
    </row>
    <row r="158" spans="1:35" x14ac:dyDescent="0.2">
      <c r="A158" t="s">
        <v>509</v>
      </c>
      <c r="B158" t="s">
        <v>510</v>
      </c>
      <c r="C158" t="s">
        <v>491</v>
      </c>
      <c r="D158" t="s">
        <v>436</v>
      </c>
      <c r="E158" t="s">
        <v>492</v>
      </c>
      <c r="F158" t="s">
        <v>143</v>
      </c>
      <c r="G158" t="s">
        <v>143</v>
      </c>
      <c r="H158">
        <v>600</v>
      </c>
      <c r="I158" s="13">
        <v>1</v>
      </c>
      <c r="J158" t="str">
        <f>_xlfn.TEXTJOIN(";",1,K158:AAB158)</f>
        <v>hts_mod_fac_ew</v>
      </c>
      <c r="AI158" t="s">
        <v>443</v>
      </c>
    </row>
    <row r="159" spans="1:35" x14ac:dyDescent="0.2">
      <c r="A159" t="s">
        <v>509</v>
      </c>
      <c r="B159" t="s">
        <v>510</v>
      </c>
      <c r="C159" t="s">
        <v>493</v>
      </c>
      <c r="D159" t="s">
        <v>436</v>
      </c>
      <c r="E159" t="s">
        <v>494</v>
      </c>
      <c r="F159" t="s">
        <v>143</v>
      </c>
      <c r="G159" t="s">
        <v>143</v>
      </c>
      <c r="H159">
        <v>700</v>
      </c>
      <c r="I159" s="13">
        <v>1</v>
      </c>
      <c r="J159" t="str">
        <f>_xlfn.TEXTJOIN(";",1,K159:AAB159)</f>
        <v>hts_mod_fac_inpat</v>
      </c>
      <c r="AI159" t="s">
        <v>444</v>
      </c>
    </row>
    <row r="160" spans="1:35" x14ac:dyDescent="0.2">
      <c r="A160" t="s">
        <v>509</v>
      </c>
      <c r="B160" t="s">
        <v>510</v>
      </c>
      <c r="C160" t="s">
        <v>495</v>
      </c>
      <c r="D160" t="s">
        <v>436</v>
      </c>
      <c r="E160" t="s">
        <v>496</v>
      </c>
      <c r="F160" t="s">
        <v>143</v>
      </c>
      <c r="G160" t="s">
        <v>143</v>
      </c>
      <c r="H160">
        <v>800</v>
      </c>
      <c r="I160" s="13">
        <v>1</v>
      </c>
      <c r="J160" t="str">
        <f>_xlfn.TEXTJOIN(";",1,K160:AAB160)</f>
        <v>hts_mod_fac_nut</v>
      </c>
      <c r="AI160" t="s">
        <v>445</v>
      </c>
    </row>
    <row r="161" spans="1:35" x14ac:dyDescent="0.2">
      <c r="A161" t="s">
        <v>509</v>
      </c>
      <c r="B161" t="s">
        <v>510</v>
      </c>
      <c r="C161" t="s">
        <v>497</v>
      </c>
      <c r="D161" t="s">
        <v>436</v>
      </c>
      <c r="E161" t="s">
        <v>498</v>
      </c>
      <c r="F161" t="s">
        <v>143</v>
      </c>
      <c r="G161" t="s">
        <v>143</v>
      </c>
      <c r="H161">
        <v>900</v>
      </c>
      <c r="I161" s="13">
        <v>1</v>
      </c>
      <c r="J161" t="str">
        <f>_xlfn.TEXTJOIN(";",1,K161:AAB161)</f>
        <v>hts_mod_fac_ped</v>
      </c>
      <c r="AI161" t="s">
        <v>446</v>
      </c>
    </row>
    <row r="162" spans="1:35" x14ac:dyDescent="0.2">
      <c r="A162" t="s">
        <v>509</v>
      </c>
      <c r="B162" t="s">
        <v>510</v>
      </c>
      <c r="C162" t="s">
        <v>499</v>
      </c>
      <c r="D162" t="s">
        <v>436</v>
      </c>
      <c r="E162" t="s">
        <v>500</v>
      </c>
      <c r="F162" t="s">
        <v>143</v>
      </c>
      <c r="G162" t="s">
        <v>143</v>
      </c>
      <c r="H162">
        <v>1000</v>
      </c>
      <c r="I162" s="13">
        <v>1</v>
      </c>
      <c r="J162" t="str">
        <f>_xlfn.TEXTJOIN(";",1,K162:AAB162)</f>
        <v>hts_mod_fac_sti</v>
      </c>
      <c r="AI162" t="s">
        <v>447</v>
      </c>
    </row>
    <row r="163" spans="1:35" x14ac:dyDescent="0.2">
      <c r="A163" t="s">
        <v>509</v>
      </c>
      <c r="B163" t="s">
        <v>510</v>
      </c>
      <c r="C163" t="s">
        <v>501</v>
      </c>
      <c r="D163" t="s">
        <v>436</v>
      </c>
      <c r="E163" t="s">
        <v>502</v>
      </c>
      <c r="F163" t="s">
        <v>143</v>
      </c>
      <c r="G163" t="s">
        <v>143</v>
      </c>
      <c r="H163">
        <v>1100</v>
      </c>
      <c r="I163" s="13">
        <v>1</v>
      </c>
      <c r="J163" t="str">
        <f>_xlfn.TEXTJOIN(";",1,K163:AAB163)</f>
        <v>hts_mod_fac_vct</v>
      </c>
      <c r="AI163" t="s">
        <v>448</v>
      </c>
    </row>
    <row r="164" spans="1:35" x14ac:dyDescent="0.2">
      <c r="A164" t="s">
        <v>509</v>
      </c>
      <c r="B164" t="s">
        <v>510</v>
      </c>
      <c r="C164" t="s">
        <v>503</v>
      </c>
      <c r="D164" t="s">
        <v>436</v>
      </c>
      <c r="E164" t="s">
        <v>504</v>
      </c>
      <c r="F164" t="s">
        <v>143</v>
      </c>
      <c r="G164" t="s">
        <v>143</v>
      </c>
      <c r="H164">
        <v>1200</v>
      </c>
      <c r="I164" s="13">
        <v>1</v>
      </c>
      <c r="J164" t="str">
        <f>_xlfn.TEXTJOIN(";",1,K164:AAB164)</f>
        <v>hts_mod_fac_otr_pitc</v>
      </c>
      <c r="AI164" t="s">
        <v>449</v>
      </c>
    </row>
    <row r="165" spans="1:35" x14ac:dyDescent="0.2">
      <c r="A165" t="s">
        <v>509</v>
      </c>
      <c r="B165" t="s">
        <v>510</v>
      </c>
      <c r="C165" t="s">
        <v>505</v>
      </c>
      <c r="D165" t="s">
        <v>436</v>
      </c>
      <c r="E165" t="s">
        <v>506</v>
      </c>
      <c r="F165" t="s">
        <v>143</v>
      </c>
      <c r="G165" t="s">
        <v>143</v>
      </c>
      <c r="H165">
        <v>1300</v>
      </c>
      <c r="I165" s="13">
        <v>1</v>
      </c>
      <c r="J165" t="str">
        <f>_xlfn.TEXTJOIN(";",1,K165:AAB165)</f>
        <v>hts_mod_fac_vmmc</v>
      </c>
      <c r="AI165" t="s">
        <v>511</v>
      </c>
    </row>
    <row r="166" spans="1:35" x14ac:dyDescent="0.2">
      <c r="A166" t="s">
        <v>509</v>
      </c>
      <c r="B166" t="s">
        <v>510</v>
      </c>
      <c r="C166" t="s">
        <v>507</v>
      </c>
      <c r="D166" t="s">
        <v>436</v>
      </c>
      <c r="E166" t="s">
        <v>508</v>
      </c>
      <c r="F166" t="s">
        <v>143</v>
      </c>
      <c r="G166" t="s">
        <v>143</v>
      </c>
      <c r="H166">
        <v>1400</v>
      </c>
      <c r="I166" s="13">
        <v>1</v>
      </c>
      <c r="J166" t="str">
        <f>_xlfn.TEXTJOIN(";",1,K166:AAB166)</f>
        <v>hts_mod_fac_anc_1</v>
      </c>
      <c r="AI166" t="s">
        <v>512</v>
      </c>
    </row>
    <row r="167" spans="1:35" x14ac:dyDescent="0.2">
      <c r="A167" t="s">
        <v>509</v>
      </c>
      <c r="B167" t="s">
        <v>510</v>
      </c>
      <c r="C167" t="s">
        <v>514</v>
      </c>
      <c r="D167" t="s">
        <v>436</v>
      </c>
      <c r="E167" t="s">
        <v>513</v>
      </c>
      <c r="F167" t="s">
        <v>143</v>
      </c>
      <c r="G167" t="s">
        <v>143</v>
      </c>
      <c r="H167">
        <v>1500</v>
      </c>
      <c r="I167" s="13">
        <v>1</v>
      </c>
      <c r="J167" t="str">
        <f>_xlfn.TEXTJOIN(";",1,K167:AAB167)</f>
        <v>hts_mod_fac_tb</v>
      </c>
      <c r="AI167" t="s">
        <v>515</v>
      </c>
    </row>
    <row r="168" spans="1:35" x14ac:dyDescent="0.2">
      <c r="A168" t="s">
        <v>509</v>
      </c>
      <c r="B168" t="s">
        <v>510</v>
      </c>
      <c r="C168" t="s">
        <v>571</v>
      </c>
      <c r="D168" t="s">
        <v>436</v>
      </c>
      <c r="E168" s="17" t="s">
        <v>569</v>
      </c>
      <c r="F168" t="s">
        <v>143</v>
      </c>
      <c r="G168" t="s">
        <v>143</v>
      </c>
      <c r="H168">
        <v>1600</v>
      </c>
      <c r="I168" s="13">
        <v>1</v>
      </c>
      <c r="J168" t="str">
        <f>_xlfn.TEXTJOIN(";",1,K168:AAB168)</f>
        <v>hts_mod_fac_post_anc_1</v>
      </c>
      <c r="AI168" t="s">
        <v>570</v>
      </c>
    </row>
    <row r="169" spans="1:35" x14ac:dyDescent="0.2">
      <c r="A169" t="s">
        <v>174</v>
      </c>
      <c r="B169" t="s">
        <v>233</v>
      </c>
      <c r="C169" t="s">
        <v>519</v>
      </c>
      <c r="D169" t="s">
        <v>217</v>
      </c>
      <c r="E169" t="s">
        <v>520</v>
      </c>
      <c r="F169" t="s">
        <v>520</v>
      </c>
      <c r="G169" t="s">
        <v>521</v>
      </c>
      <c r="H169">
        <v>3</v>
      </c>
      <c r="I169" s="12">
        <v>1</v>
      </c>
      <c r="J169" s="4" t="str">
        <f>_xlfn.TEXTJOIN(";",1,K169:AAB169)</f>
        <v>U_age</v>
      </c>
      <c r="K169" s="9"/>
      <c r="L169" s="9"/>
      <c r="M169" s="9"/>
      <c r="N169" s="9"/>
      <c r="P169" s="9"/>
      <c r="Q169" s="9"/>
      <c r="R169" s="9"/>
      <c r="T169" s="9"/>
      <c r="AI169" t="s">
        <v>518</v>
      </c>
    </row>
    <row r="170" spans="1:35" x14ac:dyDescent="0.2">
      <c r="A170" t="s">
        <v>175</v>
      </c>
      <c r="B170" t="s">
        <v>176</v>
      </c>
      <c r="C170" t="s">
        <v>133</v>
      </c>
      <c r="D170" t="s">
        <v>216</v>
      </c>
      <c r="E170" t="s">
        <v>134</v>
      </c>
      <c r="F170" t="s">
        <v>523</v>
      </c>
      <c r="G170" t="s">
        <v>524</v>
      </c>
      <c r="H170">
        <v>3</v>
      </c>
      <c r="I170" s="12">
        <v>1</v>
      </c>
      <c r="J170" s="4" t="str">
        <f>_xlfn.TEXTJOIN(";",1,K170:AAB170)</f>
        <v>U_sex</v>
      </c>
      <c r="AI170" t="s">
        <v>522</v>
      </c>
    </row>
    <row r="171" spans="1:35" x14ac:dyDescent="0.2">
      <c r="A171" t="s">
        <v>678</v>
      </c>
      <c r="B171" t="s">
        <v>679</v>
      </c>
      <c r="C171" t="s">
        <v>674</v>
      </c>
      <c r="D171" t="s">
        <v>436</v>
      </c>
      <c r="E171" t="s">
        <v>675</v>
      </c>
      <c r="F171" t="s">
        <v>675</v>
      </c>
      <c r="G171" t="s">
        <v>674</v>
      </c>
      <c r="H171" s="7">
        <v>1</v>
      </c>
      <c r="I171" s="12">
        <v>1</v>
      </c>
      <c r="J171" s="4" t="str">
        <f>_xlfn.TEXTJOIN(";",1,K171:AAB171)</f>
        <v>ag_a</v>
      </c>
      <c r="AG171" t="s">
        <v>680</v>
      </c>
    </row>
    <row r="172" spans="1:35" x14ac:dyDescent="0.2">
      <c r="A172" t="s">
        <v>678</v>
      </c>
      <c r="B172" t="s">
        <v>679</v>
      </c>
      <c r="C172" t="s">
        <v>676</v>
      </c>
      <c r="D172" t="s">
        <v>436</v>
      </c>
      <c r="E172" t="s">
        <v>677</v>
      </c>
      <c r="F172" t="s">
        <v>677</v>
      </c>
      <c r="G172" t="s">
        <v>676</v>
      </c>
      <c r="H172" s="7">
        <v>2</v>
      </c>
      <c r="I172" s="12">
        <v>1</v>
      </c>
      <c r="J172" s="4" t="str">
        <f>_xlfn.TEXTJOIN(";",1,K172:AAB172)</f>
        <v>ag_g</v>
      </c>
      <c r="AG172" t="s">
        <v>681</v>
      </c>
    </row>
    <row r="173" spans="1:35" x14ac:dyDescent="0.2">
      <c r="A173" t="s">
        <v>278</v>
      </c>
      <c r="B173" t="s">
        <v>416</v>
      </c>
      <c r="C173" s="21" t="s">
        <v>766</v>
      </c>
      <c r="D173" t="s">
        <v>436</v>
      </c>
      <c r="E173" s="21" t="s">
        <v>765</v>
      </c>
      <c r="F173" t="s">
        <v>143</v>
      </c>
      <c r="G173" t="s">
        <v>143</v>
      </c>
      <c r="I173" s="12">
        <v>1</v>
      </c>
      <c r="J173" s="4" t="str">
        <f>_xlfn.TEXTJOIN(";",1,K173:AAB173)</f>
        <v>tb_n_art_a</v>
      </c>
      <c r="AH173" t="s">
        <v>798</v>
      </c>
    </row>
    <row r="174" spans="1:35" x14ac:dyDescent="0.2">
      <c r="A174" t="s">
        <v>278</v>
      </c>
      <c r="B174" t="s">
        <v>416</v>
      </c>
      <c r="C174" s="21" t="s">
        <v>768</v>
      </c>
      <c r="D174" t="s">
        <v>436</v>
      </c>
      <c r="E174" s="21" t="s">
        <v>767</v>
      </c>
      <c r="F174" t="s">
        <v>143</v>
      </c>
      <c r="G174" t="s">
        <v>143</v>
      </c>
      <c r="I174" s="12">
        <v>1</v>
      </c>
      <c r="J174" s="4" t="str">
        <f>_xlfn.TEXTJOIN(";",1,K174:AAB174)</f>
        <v>tb_n_art_a</v>
      </c>
      <c r="AH174" t="s">
        <v>798</v>
      </c>
    </row>
    <row r="175" spans="1:35" x14ac:dyDescent="0.2">
      <c r="A175" t="s">
        <v>278</v>
      </c>
      <c r="B175" t="s">
        <v>416</v>
      </c>
      <c r="C175" s="21" t="s">
        <v>770</v>
      </c>
      <c r="D175" t="s">
        <v>436</v>
      </c>
      <c r="E175" s="21" t="s">
        <v>769</v>
      </c>
      <c r="F175" t="s">
        <v>143</v>
      </c>
      <c r="G175" t="s">
        <v>143</v>
      </c>
      <c r="I175" s="12">
        <v>1</v>
      </c>
      <c r="J175" s="4" t="str">
        <f>_xlfn.TEXTJOIN(";",1,K175:AAB175)</f>
        <v>tb_n_art_n</v>
      </c>
      <c r="AH175" t="s">
        <v>799</v>
      </c>
    </row>
    <row r="176" spans="1:35" x14ac:dyDescent="0.2">
      <c r="A176" t="s">
        <v>278</v>
      </c>
      <c r="B176" t="s">
        <v>416</v>
      </c>
      <c r="C176" s="21" t="s">
        <v>772</v>
      </c>
      <c r="D176" t="s">
        <v>436</v>
      </c>
      <c r="E176" s="21" t="s">
        <v>771</v>
      </c>
      <c r="F176" t="s">
        <v>143</v>
      </c>
      <c r="G176" t="s">
        <v>143</v>
      </c>
      <c r="I176" s="12">
        <v>1</v>
      </c>
      <c r="J176" s="4" t="str">
        <f>_xlfn.TEXTJOIN(";",1,K176:AAB176)</f>
        <v>tb_n_art_n</v>
      </c>
      <c r="AH176" t="s">
        <v>799</v>
      </c>
    </row>
    <row r="177" spans="1:34" x14ac:dyDescent="0.2">
      <c r="A177" t="s">
        <v>278</v>
      </c>
      <c r="B177" t="s">
        <v>416</v>
      </c>
      <c r="C177" s="21" t="s">
        <v>774</v>
      </c>
      <c r="D177" t="s">
        <v>436</v>
      </c>
      <c r="E177" s="21" t="s">
        <v>773</v>
      </c>
      <c r="F177" t="s">
        <v>143</v>
      </c>
      <c r="G177" t="s">
        <v>143</v>
      </c>
      <c r="I177" s="12">
        <v>1</v>
      </c>
      <c r="J177" s="4" t="str">
        <f>_xlfn.TEXTJOIN(";",1,K177:AAB177)</f>
        <v>tb_p_art_a</v>
      </c>
      <c r="AH177" t="s">
        <v>800</v>
      </c>
    </row>
    <row r="178" spans="1:34" x14ac:dyDescent="0.2">
      <c r="A178" t="s">
        <v>278</v>
      </c>
      <c r="B178" t="s">
        <v>416</v>
      </c>
      <c r="C178" s="21" t="s">
        <v>776</v>
      </c>
      <c r="D178" t="s">
        <v>436</v>
      </c>
      <c r="E178" s="21" t="s">
        <v>775</v>
      </c>
      <c r="F178" t="s">
        <v>143</v>
      </c>
      <c r="G178" t="s">
        <v>143</v>
      </c>
      <c r="I178" s="12">
        <v>1</v>
      </c>
      <c r="J178" s="4" t="str">
        <f>_xlfn.TEXTJOIN(";",1,K178:AAB178)</f>
        <v>tb_p_art_a</v>
      </c>
      <c r="AH178" t="s">
        <v>800</v>
      </c>
    </row>
    <row r="179" spans="1:34" x14ac:dyDescent="0.2">
      <c r="A179" t="s">
        <v>278</v>
      </c>
      <c r="B179" t="s">
        <v>416</v>
      </c>
      <c r="C179" s="21" t="s">
        <v>778</v>
      </c>
      <c r="D179" t="s">
        <v>436</v>
      </c>
      <c r="E179" s="21" t="s">
        <v>777</v>
      </c>
      <c r="F179" t="s">
        <v>143</v>
      </c>
      <c r="G179" t="s">
        <v>143</v>
      </c>
      <c r="I179" s="12">
        <v>1</v>
      </c>
      <c r="J179" s="4" t="str">
        <f>_xlfn.TEXTJOIN(";",1,K179:AAB179)</f>
        <v>tb_p_art_n</v>
      </c>
      <c r="AH179" t="s">
        <v>801</v>
      </c>
    </row>
    <row r="180" spans="1:34" x14ac:dyDescent="0.2">
      <c r="A180" t="s">
        <v>278</v>
      </c>
      <c r="B180" t="s">
        <v>416</v>
      </c>
      <c r="C180" s="21" t="s">
        <v>780</v>
      </c>
      <c r="D180" t="s">
        <v>436</v>
      </c>
      <c r="E180" s="21" t="s">
        <v>779</v>
      </c>
      <c r="F180" t="s">
        <v>143</v>
      </c>
      <c r="G180" t="s">
        <v>143</v>
      </c>
      <c r="I180" s="12">
        <v>1</v>
      </c>
      <c r="J180" s="4" t="str">
        <f>_xlfn.TEXTJOIN(";",1,K180:AAB180)</f>
        <v>tb_p_art_n</v>
      </c>
      <c r="AH180" t="s">
        <v>801</v>
      </c>
    </row>
    <row r="181" spans="1:34" x14ac:dyDescent="0.2">
      <c r="A181" t="s">
        <v>278</v>
      </c>
      <c r="B181" t="s">
        <v>416</v>
      </c>
      <c r="C181" s="21" t="s">
        <v>782</v>
      </c>
      <c r="D181" t="s">
        <v>436</v>
      </c>
      <c r="E181" s="21" t="s">
        <v>781</v>
      </c>
      <c r="F181" t="s">
        <v>143</v>
      </c>
      <c r="G181" t="s">
        <v>143</v>
      </c>
      <c r="I181" s="12">
        <v>1</v>
      </c>
      <c r="J181" s="4" t="str">
        <f>_xlfn.TEXTJOIN(";",1,K181:AAB181)</f>
        <v>tb_n_art_a</v>
      </c>
      <c r="AH181" t="s">
        <v>798</v>
      </c>
    </row>
    <row r="182" spans="1:34" x14ac:dyDescent="0.2">
      <c r="A182" t="s">
        <v>278</v>
      </c>
      <c r="B182" t="s">
        <v>416</v>
      </c>
      <c r="C182" s="21" t="s">
        <v>784</v>
      </c>
      <c r="D182" t="s">
        <v>436</v>
      </c>
      <c r="E182" s="21" t="s">
        <v>783</v>
      </c>
      <c r="F182" t="s">
        <v>143</v>
      </c>
      <c r="G182" t="s">
        <v>143</v>
      </c>
      <c r="I182" s="12">
        <v>1</v>
      </c>
      <c r="J182" s="4" t="str">
        <f>_xlfn.TEXTJOIN(";",1,K182:AAB182)</f>
        <v>tb_n_art_a</v>
      </c>
      <c r="AH182" t="s">
        <v>798</v>
      </c>
    </row>
    <row r="183" spans="1:34" x14ac:dyDescent="0.2">
      <c r="A183" t="s">
        <v>278</v>
      </c>
      <c r="B183" t="s">
        <v>416</v>
      </c>
      <c r="C183" s="21" t="s">
        <v>786</v>
      </c>
      <c r="D183" t="s">
        <v>436</v>
      </c>
      <c r="E183" s="21" t="s">
        <v>785</v>
      </c>
      <c r="F183" t="s">
        <v>143</v>
      </c>
      <c r="G183" t="s">
        <v>143</v>
      </c>
      <c r="I183" s="12">
        <v>1</v>
      </c>
      <c r="J183" s="4" t="str">
        <f>_xlfn.TEXTJOIN(";",1,K183:AAB183)</f>
        <v>tb_n_art_n</v>
      </c>
      <c r="AH183" t="s">
        <v>799</v>
      </c>
    </row>
    <row r="184" spans="1:34" x14ac:dyDescent="0.2">
      <c r="A184" t="s">
        <v>278</v>
      </c>
      <c r="B184" t="s">
        <v>416</v>
      </c>
      <c r="C184" s="21" t="s">
        <v>788</v>
      </c>
      <c r="D184" t="s">
        <v>436</v>
      </c>
      <c r="E184" s="21" t="s">
        <v>787</v>
      </c>
      <c r="F184" t="s">
        <v>143</v>
      </c>
      <c r="G184" t="s">
        <v>143</v>
      </c>
      <c r="I184" s="12">
        <v>1</v>
      </c>
      <c r="J184" s="4" t="str">
        <f>_xlfn.TEXTJOIN(";",1,K184:AAB184)</f>
        <v>tb_n_art_n</v>
      </c>
      <c r="AH184" t="s">
        <v>799</v>
      </c>
    </row>
    <row r="185" spans="1:34" x14ac:dyDescent="0.2">
      <c r="A185" t="s">
        <v>278</v>
      </c>
      <c r="B185" t="s">
        <v>416</v>
      </c>
      <c r="C185" s="21" t="s">
        <v>790</v>
      </c>
      <c r="D185" t="s">
        <v>436</v>
      </c>
      <c r="E185" s="21" t="s">
        <v>789</v>
      </c>
      <c r="F185" t="s">
        <v>143</v>
      </c>
      <c r="G185" t="s">
        <v>143</v>
      </c>
      <c r="I185" s="12">
        <v>1</v>
      </c>
      <c r="J185" s="4" t="str">
        <f>_xlfn.TEXTJOIN(";",1,K185:AAB185)</f>
        <v>tb_p_art_a</v>
      </c>
      <c r="AH185" t="s">
        <v>800</v>
      </c>
    </row>
    <row r="186" spans="1:34" x14ac:dyDescent="0.2">
      <c r="A186" t="s">
        <v>278</v>
      </c>
      <c r="B186" t="s">
        <v>416</v>
      </c>
      <c r="C186" s="21" t="s">
        <v>792</v>
      </c>
      <c r="D186" t="s">
        <v>436</v>
      </c>
      <c r="E186" s="21" t="s">
        <v>791</v>
      </c>
      <c r="F186" t="s">
        <v>143</v>
      </c>
      <c r="G186" t="s">
        <v>143</v>
      </c>
      <c r="I186" s="12">
        <v>1</v>
      </c>
      <c r="J186" s="4" t="str">
        <f>_xlfn.TEXTJOIN(";",1,K186:AAB186)</f>
        <v>tb_p_art_a</v>
      </c>
      <c r="AH186" t="s">
        <v>800</v>
      </c>
    </row>
    <row r="187" spans="1:34" x14ac:dyDescent="0.2">
      <c r="A187" t="s">
        <v>278</v>
      </c>
      <c r="B187" t="s">
        <v>416</v>
      </c>
      <c r="C187" s="21" t="s">
        <v>794</v>
      </c>
      <c r="D187" t="s">
        <v>436</v>
      </c>
      <c r="E187" s="21" t="s">
        <v>793</v>
      </c>
      <c r="F187" t="s">
        <v>143</v>
      </c>
      <c r="G187" t="s">
        <v>143</v>
      </c>
      <c r="I187" s="12">
        <v>1</v>
      </c>
      <c r="J187" s="4" t="str">
        <f>_xlfn.TEXTJOIN(";",1,K187:AAB187)</f>
        <v>tb_p_art_n</v>
      </c>
      <c r="AH187" t="s">
        <v>801</v>
      </c>
    </row>
    <row r="188" spans="1:34" x14ac:dyDescent="0.2">
      <c r="A188" t="s">
        <v>278</v>
      </c>
      <c r="B188" t="s">
        <v>416</v>
      </c>
      <c r="C188" s="21" t="s">
        <v>796</v>
      </c>
      <c r="D188" t="s">
        <v>436</v>
      </c>
      <c r="E188" s="21" t="s">
        <v>795</v>
      </c>
      <c r="F188" t="s">
        <v>143</v>
      </c>
      <c r="G188" t="s">
        <v>143</v>
      </c>
      <c r="I188" s="12">
        <v>1</v>
      </c>
      <c r="J188" s="4" t="str">
        <f>_xlfn.TEXTJOIN(";",1,K188:AAB188)</f>
        <v>tb_p_art_n</v>
      </c>
      <c r="AH188" t="s">
        <v>801</v>
      </c>
    </row>
  </sheetData>
  <autoFilter ref="A1:AF188" xr:uid="{F5070472-BD41-FC47-BC46-FB0AD4499DE3}"/>
  <sortState xmlns:xlrd2="http://schemas.microsoft.com/office/spreadsheetml/2017/richdata2" ref="A4:W66">
    <sortCondition ref="H4:H66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4B48-0DDD-9143-B593-B487B7D33A0E}">
  <dimension ref="A1:B24"/>
  <sheetViews>
    <sheetView workbookViewId="0">
      <selection sqref="A1:B24"/>
    </sheetView>
  </sheetViews>
  <sheetFormatPr baseColWidth="10" defaultRowHeight="16" x14ac:dyDescent="0.2"/>
  <cols>
    <col min="1" max="1" width="30.6640625" style="20" bestFit="1" customWidth="1"/>
    <col min="2" max="2" width="14.83203125" style="20" bestFit="1" customWidth="1"/>
    <col min="3" max="16384" width="10.83203125" style="20"/>
  </cols>
  <sheetData>
    <row r="1" spans="1:2" x14ac:dyDescent="0.2">
      <c r="A1" s="19" t="s">
        <v>693</v>
      </c>
      <c r="B1" s="19" t="s">
        <v>694</v>
      </c>
    </row>
    <row r="2" spans="1:2" x14ac:dyDescent="0.2">
      <c r="A2" s="19" t="s">
        <v>695</v>
      </c>
      <c r="B2" s="19" t="s">
        <v>696</v>
      </c>
    </row>
    <row r="3" spans="1:2" x14ac:dyDescent="0.2">
      <c r="A3" s="19" t="s">
        <v>697</v>
      </c>
      <c r="B3" s="19" t="s">
        <v>698</v>
      </c>
    </row>
    <row r="4" spans="1:2" x14ac:dyDescent="0.2">
      <c r="A4" s="19" t="s">
        <v>699</v>
      </c>
      <c r="B4" s="19" t="s">
        <v>700</v>
      </c>
    </row>
    <row r="5" spans="1:2" x14ac:dyDescent="0.2">
      <c r="A5" s="19" t="s">
        <v>701</v>
      </c>
      <c r="B5" s="19" t="s">
        <v>702</v>
      </c>
    </row>
    <row r="6" spans="1:2" x14ac:dyDescent="0.2">
      <c r="A6" s="19" t="s">
        <v>703</v>
      </c>
      <c r="B6" s="19" t="s">
        <v>704</v>
      </c>
    </row>
    <row r="7" spans="1:2" x14ac:dyDescent="0.2">
      <c r="A7" s="19" t="s">
        <v>705</v>
      </c>
      <c r="B7" s="19" t="s">
        <v>706</v>
      </c>
    </row>
    <row r="8" spans="1:2" x14ac:dyDescent="0.2">
      <c r="A8" s="19" t="s">
        <v>707</v>
      </c>
      <c r="B8" s="19" t="s">
        <v>708</v>
      </c>
    </row>
    <row r="9" spans="1:2" x14ac:dyDescent="0.2">
      <c r="A9" s="19" t="s">
        <v>709</v>
      </c>
      <c r="B9" s="19" t="s">
        <v>710</v>
      </c>
    </row>
    <row r="10" spans="1:2" x14ac:dyDescent="0.2">
      <c r="A10" s="19" t="s">
        <v>711</v>
      </c>
      <c r="B10" s="19" t="s">
        <v>712</v>
      </c>
    </row>
    <row r="11" spans="1:2" x14ac:dyDescent="0.2">
      <c r="A11" s="19" t="s">
        <v>713</v>
      </c>
      <c r="B11" s="19" t="s">
        <v>714</v>
      </c>
    </row>
    <row r="12" spans="1:2" x14ac:dyDescent="0.2">
      <c r="A12" s="19" t="s">
        <v>715</v>
      </c>
      <c r="B12" s="19" t="s">
        <v>716</v>
      </c>
    </row>
    <row r="13" spans="1:2" x14ac:dyDescent="0.2">
      <c r="A13" s="19" t="s">
        <v>717</v>
      </c>
      <c r="B13" s="19" t="s">
        <v>718</v>
      </c>
    </row>
    <row r="14" spans="1:2" x14ac:dyDescent="0.2">
      <c r="A14" s="19" t="s">
        <v>719</v>
      </c>
      <c r="B14" s="19" t="s">
        <v>720</v>
      </c>
    </row>
    <row r="15" spans="1:2" x14ac:dyDescent="0.2">
      <c r="A15" s="19" t="s">
        <v>721</v>
      </c>
      <c r="B15" s="19" t="s">
        <v>722</v>
      </c>
    </row>
    <row r="16" spans="1:2" x14ac:dyDescent="0.2">
      <c r="A16" s="19" t="s">
        <v>723</v>
      </c>
      <c r="B16" s="19" t="s">
        <v>724</v>
      </c>
    </row>
    <row r="17" spans="1:2" x14ac:dyDescent="0.2">
      <c r="A17" s="19" t="s">
        <v>725</v>
      </c>
      <c r="B17" s="19" t="s">
        <v>726</v>
      </c>
    </row>
    <row r="18" spans="1:2" x14ac:dyDescent="0.2">
      <c r="A18" s="19" t="s">
        <v>727</v>
      </c>
      <c r="B18" s="19" t="s">
        <v>728</v>
      </c>
    </row>
    <row r="19" spans="1:2" x14ac:dyDescent="0.2">
      <c r="A19" s="19" t="s">
        <v>729</v>
      </c>
      <c r="B19" s="19" t="s">
        <v>730</v>
      </c>
    </row>
    <row r="20" spans="1:2" x14ac:dyDescent="0.2">
      <c r="A20" s="19" t="s">
        <v>731</v>
      </c>
      <c r="B20" s="19" t="s">
        <v>732</v>
      </c>
    </row>
    <row r="21" spans="1:2" x14ac:dyDescent="0.2">
      <c r="A21" s="19" t="s">
        <v>733</v>
      </c>
      <c r="B21" s="19" t="s">
        <v>734</v>
      </c>
    </row>
    <row r="22" spans="1:2" x14ac:dyDescent="0.2">
      <c r="A22" s="19" t="s">
        <v>735</v>
      </c>
      <c r="B22" s="19" t="s">
        <v>736</v>
      </c>
    </row>
    <row r="23" spans="1:2" x14ac:dyDescent="0.2">
      <c r="A23" s="19" t="s">
        <v>737</v>
      </c>
      <c r="B23" s="19" t="s">
        <v>738</v>
      </c>
    </row>
    <row r="24" spans="1:2" x14ac:dyDescent="0.2">
      <c r="A24" s="19" t="s">
        <v>739</v>
      </c>
      <c r="B24" s="19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data_required</vt:lpstr>
      <vt:lpstr>dimension_Item_sets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Garman</dc:creator>
  <cp:lastModifiedBy>Sam Garman</cp:lastModifiedBy>
  <dcterms:created xsi:type="dcterms:W3CDTF">2018-12-08T14:31:18Z</dcterms:created>
  <dcterms:modified xsi:type="dcterms:W3CDTF">2020-03-25T14:13:09Z</dcterms:modified>
</cp:coreProperties>
</file>